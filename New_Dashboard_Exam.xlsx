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SUS\Desktop\RNW\Excel\"/>
    </mc:Choice>
  </mc:AlternateContent>
  <xr:revisionPtr revIDLastSave="0" documentId="13_ncr:1_{16B6BD5C-20B9-41E8-8041-CFFB2EFE257A}" xr6:coauthVersionLast="47" xr6:coauthVersionMax="47" xr10:uidLastSave="{00000000-0000-0000-0000-000000000000}"/>
  <bookViews>
    <workbookView xWindow="-108" yWindow="-108" windowWidth="23256" windowHeight="12456" activeTab="3" xr2:uid="{6AE035C0-FDD4-4909-837E-D1585CBA5BA5}"/>
  </bookViews>
  <sheets>
    <sheet name="Online Sales Data" sheetId="1" r:id="rId1"/>
    <sheet name="Task_4" sheetId="3" r:id="rId2"/>
    <sheet name="Pivots &amp; Charts" sheetId="4" r:id="rId3"/>
    <sheet name="Dashboard" sheetId="5" r:id="rId4"/>
  </sheets>
  <definedNames>
    <definedName name="_xlnm._FilterDatabase" localSheetId="0" hidden="1">'Online Sales Data'!$A$1:$I$241</definedName>
    <definedName name="Advance_Formulas">Task_4!$A$1:$H$26</definedName>
    <definedName name="NativeTimeline_Date">#N/A</definedName>
    <definedName name="Slicer_Payment_Method">#N/A</definedName>
    <definedName name="Slicer_Product_Category">#N/A</definedName>
    <definedName name="Slicer_Region">#N/A</definedName>
  </definedNames>
  <calcPr calcId="191029"/>
  <pivotCaches>
    <pivotCache cacheId="4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9" i="5" l="1"/>
  <c r="A32" i="5"/>
  <c r="H12" i="3"/>
  <c r="H13" i="3"/>
  <c r="H14" i="3"/>
  <c r="H15" i="3"/>
  <c r="H16" i="3"/>
  <c r="H17" i="3"/>
  <c r="H18" i="3"/>
  <c r="H19" i="3"/>
  <c r="H20" i="3"/>
  <c r="H21" i="3"/>
  <c r="H22" i="3"/>
  <c r="H23" i="3"/>
  <c r="H24" i="3"/>
  <c r="H25" i="3"/>
  <c r="H26" i="3"/>
  <c r="G12" i="3"/>
  <c r="G13" i="3"/>
  <c r="G14" i="3"/>
  <c r="G15" i="3"/>
  <c r="G16" i="3"/>
  <c r="G17" i="3"/>
  <c r="G18" i="3"/>
  <c r="G19" i="3"/>
  <c r="G20" i="3"/>
  <c r="G21" i="3"/>
  <c r="G22" i="3"/>
  <c r="G23" i="3"/>
  <c r="G24" i="3"/>
  <c r="G25" i="3"/>
  <c r="G26" i="3"/>
  <c r="F12" i="3"/>
  <c r="F13" i="3"/>
  <c r="F14" i="3"/>
  <c r="F15" i="3"/>
  <c r="F16" i="3"/>
  <c r="F17" i="3"/>
  <c r="F18" i="3"/>
  <c r="F19" i="3"/>
  <c r="F20" i="3"/>
  <c r="F21" i="3"/>
  <c r="F22" i="3"/>
  <c r="F23" i="3"/>
  <c r="F24" i="3"/>
  <c r="F25" i="3"/>
  <c r="F26" i="3"/>
  <c r="D12" i="3"/>
  <c r="D13" i="3"/>
  <c r="D14" i="3"/>
  <c r="D15" i="3"/>
  <c r="D16" i="3"/>
  <c r="D17" i="3"/>
  <c r="D18" i="3"/>
  <c r="D19" i="3"/>
  <c r="D20" i="3"/>
  <c r="D21" i="3"/>
  <c r="D22" i="3"/>
  <c r="D23" i="3"/>
  <c r="D24" i="3"/>
  <c r="D25" i="3"/>
  <c r="D26" i="3"/>
  <c r="D3" i="3"/>
  <c r="D4" i="3"/>
  <c r="D5" i="3"/>
  <c r="D6" i="3"/>
  <c r="D7" i="3"/>
  <c r="D8" i="3"/>
  <c r="D9" i="3"/>
  <c r="D10" i="3"/>
  <c r="D11" i="3"/>
  <c r="D2" i="3"/>
  <c r="C3" i="3"/>
  <c r="C4" i="3"/>
  <c r="C5" i="3"/>
  <c r="C6" i="3"/>
  <c r="C7" i="3"/>
  <c r="C8" i="3"/>
  <c r="C9" i="3"/>
  <c r="C10" i="3"/>
  <c r="C11" i="3"/>
  <c r="C12" i="3"/>
  <c r="C13" i="3"/>
  <c r="C14" i="3"/>
  <c r="C15" i="3"/>
  <c r="C16" i="3"/>
  <c r="C17" i="3"/>
  <c r="C18" i="3"/>
  <c r="C19" i="3"/>
  <c r="C20" i="3"/>
  <c r="C21" i="3"/>
  <c r="C22" i="3"/>
  <c r="C23" i="3"/>
  <c r="C24" i="3"/>
  <c r="C25" i="3"/>
  <c r="C26" i="3"/>
  <c r="C2" i="3"/>
  <c r="H3" i="3"/>
  <c r="H4" i="3"/>
  <c r="H5" i="3"/>
  <c r="H6" i="3"/>
  <c r="H7" i="3"/>
  <c r="H8" i="3"/>
  <c r="H9" i="3"/>
  <c r="H10" i="3"/>
  <c r="H11" i="3"/>
  <c r="H2" i="3"/>
  <c r="G3" i="3"/>
  <c r="G4" i="3"/>
  <c r="G5" i="3"/>
  <c r="G6" i="3"/>
  <c r="G7" i="3"/>
  <c r="G8" i="3"/>
  <c r="G9" i="3"/>
  <c r="G10" i="3"/>
  <c r="G11" i="3"/>
  <c r="G2" i="3"/>
  <c r="F3" i="3"/>
  <c r="F4" i="3"/>
  <c r="F5" i="3"/>
  <c r="F6" i="3"/>
  <c r="F7" i="3"/>
  <c r="F8" i="3"/>
  <c r="F9" i="3"/>
  <c r="F10" i="3"/>
  <c r="F11" i="3"/>
  <c r="F2" i="3"/>
  <c r="A25" i="5"/>
  <c r="A18" i="5"/>
  <c r="A11" i="5"/>
</calcChain>
</file>

<file path=xl/sharedStrings.xml><?xml version="1.0" encoding="utf-8"?>
<sst xmlns="http://schemas.openxmlformats.org/spreadsheetml/2006/main" count="1098" uniqueCount="289">
  <si>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</si>
  <si>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</si>
  <si>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</si>
  <si>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</si>
  <si>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</si>
  <si>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</si>
  <si>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</si>
  <si>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</si>
  <si>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</si>
  <si>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</si>
  <si>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</si>
  <si>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</si>
  <si>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</si>
  <si>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</si>
  <si>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</si>
  <si>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</si>
  <si>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</si>
  <si>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</si>
  <si>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</si>
  <si>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</si>
  <si>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</si>
  <si>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</si>
  <si>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</si>
  <si>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</si>
  <si>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</si>
  <si>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</si>
  <si>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</si>
  <si>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</si>
  <si>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</si>
  <si>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</si>
  <si>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</si>
  <si>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</si>
  <si>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</si>
  <si>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</si>
  <si>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</si>
  <si>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</si>
  <si>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</si>
  <si>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</si>
  <si>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</si>
  <si>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</si>
  <si>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</si>
  <si>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</si>
  <si>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</si>
  <si>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</si>
  <si>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</si>
  <si>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</si>
  <si>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</si>
  <si>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</si>
  <si>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</si>
  <si>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</si>
  <si>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</si>
  <si>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</si>
  <si>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</si>
  <si>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</si>
  <si>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</si>
  <si>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</si>
  <si>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</si>
  <si>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</si>
  <si>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</si>
  <si>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</si>
  <si>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</si>
  <si>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</si>
  <si>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</si>
  <si>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</si>
  <si>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</si>
  <si>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</si>
  <si>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</si>
  <si>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</si>
  <si>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</si>
  <si>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</si>
  <si>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</si>
  <si>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</si>
  <si>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</si>
  <si>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</si>
  <si>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</si>
  <si>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</si>
  <si>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</si>
  <si>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</si>
  <si>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</si>
  <si>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</si>
  <si>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</si>
  <si>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</si>
  <si>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</si>
  <si>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</si>
  <si>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</si>
  <si>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</si>
  <si>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</si>
  <si>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</si>
  <si>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</si>
  <si>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</si>
  <si>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</si>
  <si>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</si>
  <si>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</si>
  <si>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</si>
  <si>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</si>
  <si>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</si>
  <si>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</si>
  <si>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</si>
  <si>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</si>
  <si>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</si>
  <si>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</si>
  <si>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</si>
  <si>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</si>
  <si>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</si>
  <si>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</si>
  <si>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</si>
  <si>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</si>
  <si>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</si>
  <si>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</si>
  <si>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</si>
  <si>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</si>
  <si>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</si>
  <si>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</si>
  <si>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</si>
  <si>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</si>
  <si>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</si>
  <si>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</si>
  <si>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</si>
  <si>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</si>
  <si>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</si>
  <si>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</si>
  <si>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</si>
  <si>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</si>
  <si>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</si>
  <si>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</si>
  <si>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</si>
  <si>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</si>
  <si>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</si>
  <si>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</si>
  <si>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</si>
  <si>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</si>
  <si>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</si>
  <si>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</si>
  <si>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</si>
  <si>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</si>
  <si>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</si>
  <si>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</si>
  <si>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</si>
  <si>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</si>
  <si>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</si>
  <si>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</si>
  <si>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</si>
  <si>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</si>
  <si>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</si>
  <si>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</si>
  <si>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</si>
  <si>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</si>
  <si>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</si>
  <si>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</si>
  <si>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</si>
  <si>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</si>
  <si>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</si>
  <si>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</si>
  <si>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</si>
  <si>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</si>
  <si>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</si>
  <si>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</si>
  <si>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</si>
  <si>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</si>
  <si>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</si>
  <si>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</si>
  <si>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</si>
  <si>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</si>
  <si>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</si>
  <si>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</si>
  <si>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</si>
  <si>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</si>
  <si>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</si>
  <si>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</si>
  <si>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</si>
  <si>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</si>
  <si>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</si>
  <si>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</si>
  <si>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</si>
  <si>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</si>
  <si>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</si>
  <si>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</si>
  <si>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</si>
  <si>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</si>
  <si>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</si>
  <si>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</si>
  <si>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</si>
  <si>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</si>
  <si>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</si>
  <si>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</si>
  <si>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</si>
  <si>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</si>
  <si>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</si>
  <si>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</si>
  <si>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</si>
  <si>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</si>
  <si>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</si>
  <si>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</si>
  <si>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</si>
  <si>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</si>
  <si>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</si>
  <si>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</si>
  <si>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</si>
  <si>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</si>
  <si>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</si>
  <si>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</si>
  <si>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</si>
  <si>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</si>
  <si>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</si>
  <si>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</si>
  <si>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</si>
  <si>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</si>
  <si>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</si>
  <si>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</si>
  <si>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</si>
  <si>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</si>
  <si>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</si>
  <si>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</si>
  <si>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</si>
  <si>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</si>
  <si>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</si>
  <si>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</si>
  <si>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</si>
  <si>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</si>
  <si>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</si>
  <si>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</si>
  <si>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</si>
  <si>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</si>
  <si>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</si>
  <si>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</si>
  <si>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</si>
  <si>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</si>
  <si>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</si>
  <si>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</si>
  <si>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</si>
  <si>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</si>
  <si>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</si>
  <si>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</si>
  <si>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</si>
  <si>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</si>
  <si>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</si>
  <si>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</si>
  <si>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</si>
  <si>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</si>
  <si>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</si>
  <si>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</si>
  <si>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</si>
  <si>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</si>
  <si>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</si>
  <si>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</si>
  <si>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</si>
  <si>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</si>
  <si>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</si>
  <si>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</si>
  <si>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</si>
  <si>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</si>
  <si>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</si>
  <si>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</si>
  <si>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VLOOKUP</t>
  </si>
  <si>
    <t>INDEX-MATCH</t>
  </si>
  <si>
    <t>IF</t>
  </si>
  <si>
    <t>Nested IF</t>
  </si>
  <si>
    <t>AND + IF</t>
  </si>
  <si>
    <t>Color</t>
  </si>
  <si>
    <t>Color Legend</t>
  </si>
  <si>
    <t>Meaning</t>
  </si>
  <si>
    <t>Light Green</t>
  </si>
  <si>
    <t>Light Yellow</t>
  </si>
  <si>
    <t>Light Blue</t>
  </si>
  <si>
    <t>Light Red</t>
  </si>
  <si>
    <t>White</t>
  </si>
  <si>
    <t>High Revenue / Target Achieved</t>
  </si>
  <si>
    <t>Grade B</t>
  </si>
  <si>
    <t>Grade C</t>
  </si>
  <si>
    <t>Grade D</t>
  </si>
  <si>
    <t>Normal Data</t>
  </si>
  <si>
    <t>Grand Total</t>
  </si>
  <si>
    <t>Sum of Total Revenue</t>
  </si>
  <si>
    <t>Jan</t>
  </si>
  <si>
    <t>Feb</t>
  </si>
  <si>
    <t>Mar</t>
  </si>
  <si>
    <t>Apr</t>
  </si>
  <si>
    <t>May</t>
  </si>
  <si>
    <t>Jun</t>
  </si>
  <si>
    <t>Jul</t>
  </si>
  <si>
    <t>Aug</t>
  </si>
  <si>
    <t>Months (Date)</t>
  </si>
  <si>
    <t>Total Units Sold</t>
  </si>
  <si>
    <t>Total Transactions</t>
  </si>
  <si>
    <t>Best Category</t>
  </si>
  <si>
    <t>Best Region</t>
  </si>
  <si>
    <t>Sum of Units Sold</t>
  </si>
  <si>
    <t>Count of Transaction ID</t>
  </si>
  <si>
    <t>Apex Product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</si>
</sst>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quot;₹&quot;\ #,##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48"/>
      <color theme="0"/>
      <name val="Impact"/>
      <family val="2"/>
    </font>
    <font>
      <sz val="48"/>
      <color theme="0"/>
      <name val="Calibri"/>
      <family val="2"/>
      <scheme val="minor"/>
    </font>
    <font>
      <b/>
      <sz val="20"/>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theme="4" tint="-0.24994659260841701"/>
      </left>
      <right/>
      <top style="medium">
        <color theme="4" tint="-0.24994659260841701"/>
      </top>
      <bottom/>
      <diagonal/>
    </border>
    <border>
      <left/>
      <right/>
      <top style="medium">
        <color theme="4" tint="-0.24994659260841701"/>
      </top>
      <bottom/>
      <diagonal/>
    </border>
    <border>
      <left/>
      <right style="medium">
        <color theme="4" tint="-0.24994659260841701"/>
      </right>
      <top style="medium">
        <color theme="4" tint="-0.24994659260841701"/>
      </top>
      <bottom/>
      <diagonal/>
    </border>
    <border>
      <left style="medium">
        <color theme="4" tint="-0.24994659260841701"/>
      </left>
      <right/>
      <top/>
      <bottom/>
      <diagonal/>
    </border>
    <border>
      <left/>
      <right style="medium">
        <color theme="4" tint="-0.24994659260841701"/>
      </right>
      <top/>
      <bottom/>
      <diagonal/>
    </border>
    <border>
      <left style="medium">
        <color theme="4" tint="-0.24994659260841701"/>
      </left>
      <right/>
      <top/>
      <bottom style="medium">
        <color theme="4" tint="-0.24994659260841701"/>
      </bottom>
      <diagonal/>
    </border>
    <border>
      <left/>
      <right/>
      <top/>
      <bottom style="medium">
        <color theme="4" tint="-0.24994659260841701"/>
      </bottom>
      <diagonal/>
    </border>
    <border>
      <left/>
      <right style="medium">
        <color theme="4" tint="-0.24994659260841701"/>
      </right>
      <top/>
      <bottom style="medium">
        <color theme="4" tint="-0.2499465926084170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14" fontId="0" fillId="0" borderId="0" xfId="0" applyNumberFormat="1"/>
    <xf numFmtId="0" fontId="16" fillId="0" borderId="0" xfId="0" applyFont="1" applyAlignment="1">
      <alignment horizontal="center"/>
    </xf>
    <xf numFmtId="2" fontId="0" fillId="0" borderId="0" xfId="0" applyNumberFormat="1"/>
    <xf numFmtId="1" fontId="0" fillId="0" borderId="0" xfId="0" applyNumberFormat="1"/>
    <xf numFmtId="1" fontId="0" fillId="0" borderId="10" xfId="0" applyNumberFormat="1" applyBorder="1" applyAlignment="1">
      <alignment horizontal="center"/>
    </xf>
    <xf numFmtId="14" fontId="0" fillId="0" borderId="10" xfId="0" applyNumberFormat="1"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1" fontId="16" fillId="0" borderId="0" xfId="0" applyNumberFormat="1" applyFont="1" applyAlignment="1">
      <alignment horizontal="center"/>
    </xf>
    <xf numFmtId="14" fontId="16" fillId="0" borderId="0" xfId="0" applyNumberFormat="1" applyFont="1" applyAlignment="1">
      <alignment horizontal="center"/>
    </xf>
    <xf numFmtId="2" fontId="16" fillId="0" borderId="0" xfId="0" applyNumberFormat="1" applyFont="1" applyAlignment="1">
      <alignment horizontal="center"/>
    </xf>
    <xf numFmtId="0" fontId="16" fillId="0" borderId="10" xfId="0" applyFont="1" applyBorder="1" applyAlignment="1">
      <alignment horizontal="center"/>
    </xf>
    <xf numFmtId="2" fontId="16" fillId="0" borderId="10" xfId="0" applyNumberFormat="1" applyFont="1" applyBorder="1" applyAlignment="1">
      <alignment horizontal="center"/>
    </xf>
    <xf numFmtId="0" fontId="0" fillId="0" borderId="10" xfId="0" applyBorder="1" applyAlignment="1">
      <alignment horizontal="center" vertical="center" wrapText="1"/>
    </xf>
    <xf numFmtId="0" fontId="0" fillId="0" borderId="10" xfId="0" applyBorder="1" applyAlignment="1">
      <alignment horizontal="center" vertical="center"/>
    </xf>
    <xf numFmtId="0" fontId="16" fillId="0" borderId="10" xfId="0" applyFont="1" applyBorder="1" applyAlignment="1">
      <alignment horizontal="center" vertical="center"/>
    </xf>
    <xf numFmtId="0" fontId="0" fillId="0" borderId="0" xfId="0" pivotButton="1"/>
    <xf numFmtId="0" fontId="18" fillId="0" borderId="10" xfId="0" applyFont="1" applyBorder="1" applyAlignment="1">
      <alignment horizontal="center" vertical="center"/>
    </xf>
    <xf numFmtId="0" fontId="0" fillId="0" borderId="0" xfId="0" applyNumberFormat="1"/>
    <xf numFmtId="0" fontId="0" fillId="33" borderId="0" xfId="0" applyFill="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21" fillId="33" borderId="11" xfId="0" applyFont="1" applyFill="1" applyBorder="1" applyAlignment="1">
      <alignment horizontal="center" vertical="center"/>
    </xf>
    <xf numFmtId="0" fontId="21" fillId="33" borderId="12" xfId="0" applyFont="1" applyFill="1" applyBorder="1" applyAlignment="1">
      <alignment horizontal="center" vertical="center"/>
    </xf>
    <xf numFmtId="0" fontId="21" fillId="33" borderId="13" xfId="0" applyFont="1" applyFill="1" applyBorder="1" applyAlignment="1">
      <alignment horizontal="center" vertical="center"/>
    </xf>
    <xf numFmtId="0" fontId="21" fillId="33" borderId="14" xfId="0" applyFont="1" applyFill="1" applyBorder="1" applyAlignment="1">
      <alignment horizontal="center" vertical="center"/>
    </xf>
    <xf numFmtId="0" fontId="21" fillId="33" borderId="0" xfId="0" applyFont="1" applyFill="1" applyBorder="1" applyAlignment="1">
      <alignment horizontal="center" vertical="center"/>
    </xf>
    <xf numFmtId="0" fontId="21" fillId="33" borderId="15" xfId="0" applyFont="1" applyFill="1" applyBorder="1" applyAlignment="1">
      <alignment horizontal="center" vertical="center"/>
    </xf>
    <xf numFmtId="169" fontId="22" fillId="33" borderId="14" xfId="0" applyNumberFormat="1" applyFont="1" applyFill="1" applyBorder="1" applyAlignment="1">
      <alignment horizontal="center" vertical="center"/>
    </xf>
    <xf numFmtId="169" fontId="22" fillId="33" borderId="0" xfId="0" applyNumberFormat="1" applyFont="1" applyFill="1" applyBorder="1" applyAlignment="1">
      <alignment horizontal="center" vertical="center"/>
    </xf>
    <xf numFmtId="169" fontId="22" fillId="33" borderId="15" xfId="0" applyNumberFormat="1" applyFont="1" applyFill="1" applyBorder="1" applyAlignment="1">
      <alignment horizontal="center" vertical="center"/>
    </xf>
    <xf numFmtId="169" fontId="22" fillId="33" borderId="16" xfId="0" applyNumberFormat="1" applyFont="1" applyFill="1" applyBorder="1" applyAlignment="1">
      <alignment horizontal="center" vertical="center"/>
    </xf>
    <xf numFmtId="169" fontId="22" fillId="33" borderId="17" xfId="0" applyNumberFormat="1" applyFont="1" applyFill="1" applyBorder="1" applyAlignment="1">
      <alignment horizontal="center" vertical="center"/>
    </xf>
    <xf numFmtId="169" fontId="22" fillId="33" borderId="18" xfId="0" applyNumberFormat="1" applyFont="1" applyFill="1" applyBorder="1" applyAlignment="1">
      <alignment horizontal="center" vertical="center"/>
    </xf>
    <xf numFmtId="0" fontId="17" fillId="33" borderId="12" xfId="0" applyFont="1" applyFill="1" applyBorder="1" applyAlignment="1">
      <alignment horizontal="center" vertical="center"/>
    </xf>
    <xf numFmtId="0" fontId="17" fillId="33" borderId="13" xfId="0" applyFont="1" applyFill="1" applyBorder="1" applyAlignment="1">
      <alignment horizontal="center" vertical="center"/>
    </xf>
    <xf numFmtId="0" fontId="17" fillId="33" borderId="14" xfId="0" applyFont="1" applyFill="1" applyBorder="1" applyAlignment="1">
      <alignment horizontal="center" vertical="center"/>
    </xf>
    <xf numFmtId="0" fontId="17" fillId="33" borderId="0" xfId="0" applyFont="1" applyFill="1" applyBorder="1" applyAlignment="1">
      <alignment horizontal="center" vertical="center"/>
    </xf>
    <xf numFmtId="0" fontId="17" fillId="33" borderId="15" xfId="0" applyFont="1" applyFill="1" applyBorder="1" applyAlignment="1">
      <alignment horizontal="center" vertical="center"/>
    </xf>
    <xf numFmtId="0" fontId="22" fillId="33" borderId="14" xfId="0" applyFont="1" applyFill="1" applyBorder="1" applyAlignment="1">
      <alignment horizontal="center" vertical="center"/>
    </xf>
    <xf numFmtId="0" fontId="22" fillId="33" borderId="0" xfId="0" applyFont="1" applyFill="1" applyBorder="1" applyAlignment="1">
      <alignment horizontal="center" vertical="center"/>
    </xf>
    <xf numFmtId="0" fontId="22" fillId="33" borderId="15" xfId="0" applyFont="1" applyFill="1" applyBorder="1" applyAlignment="1">
      <alignment horizontal="center" vertical="center"/>
    </xf>
    <xf numFmtId="0" fontId="22" fillId="33" borderId="16" xfId="0" applyFont="1" applyFill="1" applyBorder="1" applyAlignment="1">
      <alignment horizontal="center" vertical="center"/>
    </xf>
    <xf numFmtId="0" fontId="22" fillId="33" borderId="17" xfId="0" applyFont="1" applyFill="1" applyBorder="1" applyAlignment="1">
      <alignment horizontal="center" vertical="center"/>
    </xf>
    <xf numFmtId="0" fontId="22" fillId="33" borderId="18" xfId="0" applyFont="1" applyFill="1" applyBorder="1" applyAlignment="1">
      <alignment horizontal="center" vertical="center"/>
    </xf>
    <xf numFmtId="0" fontId="21" fillId="33" borderId="19" xfId="0" applyFont="1" applyFill="1" applyBorder="1" applyAlignment="1">
      <alignment horizontal="center" vertical="center"/>
    </xf>
    <xf numFmtId="0" fontId="21" fillId="33" borderId="20" xfId="0" applyFont="1" applyFill="1" applyBorder="1" applyAlignment="1">
      <alignment horizontal="center" vertical="center"/>
    </xf>
    <xf numFmtId="0" fontId="21" fillId="33" borderId="21" xfId="0" applyFont="1" applyFill="1" applyBorder="1" applyAlignment="1">
      <alignment horizontal="center" vertical="center"/>
    </xf>
    <xf numFmtId="0" fontId="21" fillId="33" borderId="22" xfId="0" applyFont="1" applyFill="1" applyBorder="1" applyAlignment="1">
      <alignment horizontal="center" vertical="center"/>
    </xf>
    <xf numFmtId="0" fontId="21" fillId="33" borderId="23" xfId="0" applyFont="1" applyFill="1" applyBorder="1" applyAlignment="1">
      <alignment horizontal="center" vertical="center"/>
    </xf>
    <xf numFmtId="0" fontId="22" fillId="33" borderId="22" xfId="0" applyNumberFormat="1" applyFont="1" applyFill="1" applyBorder="1" applyAlignment="1">
      <alignment horizontal="center" vertical="center"/>
    </xf>
    <xf numFmtId="0" fontId="22" fillId="33" borderId="0" xfId="0" applyNumberFormat="1" applyFont="1" applyFill="1" applyBorder="1" applyAlignment="1">
      <alignment horizontal="center" vertical="center"/>
    </xf>
    <xf numFmtId="0" fontId="22" fillId="33" borderId="23" xfId="0" applyNumberFormat="1" applyFont="1" applyFill="1" applyBorder="1" applyAlignment="1">
      <alignment horizontal="center" vertical="center"/>
    </xf>
    <xf numFmtId="0" fontId="22" fillId="33" borderId="24" xfId="0" applyNumberFormat="1" applyFont="1" applyFill="1" applyBorder="1" applyAlignment="1">
      <alignment horizontal="center" vertical="center"/>
    </xf>
    <xf numFmtId="0" fontId="22" fillId="33" borderId="25" xfId="0" applyNumberFormat="1" applyFont="1" applyFill="1" applyBorder="1" applyAlignment="1">
      <alignment horizontal="center" vertical="center"/>
    </xf>
    <xf numFmtId="0" fontId="22" fillId="33" borderId="26" xfId="0" applyNumberFormat="1" applyFont="1" applyFill="1" applyBorder="1" applyAlignment="1">
      <alignment horizontal="center" vertical="center"/>
    </xf>
    <xf numFmtId="0" fontId="13" fillId="33" borderId="20" xfId="0" applyFont="1" applyFill="1" applyBorder="1" applyAlignment="1">
      <alignment horizontal="center" vertical="center"/>
    </xf>
    <xf numFmtId="0" fontId="13" fillId="33" borderId="21" xfId="0" applyFont="1" applyFill="1" applyBorder="1" applyAlignment="1">
      <alignment horizontal="center" vertical="center"/>
    </xf>
    <xf numFmtId="0" fontId="13" fillId="33" borderId="22" xfId="0" applyFont="1" applyFill="1" applyBorder="1" applyAlignment="1">
      <alignment horizontal="center" vertical="center"/>
    </xf>
    <xf numFmtId="0" fontId="13" fillId="33" borderId="0" xfId="0" applyFont="1" applyFill="1" applyBorder="1" applyAlignment="1">
      <alignment horizontal="center" vertical="center"/>
    </xf>
    <xf numFmtId="0" fontId="13" fillId="33" borderId="23" xfId="0" applyFont="1" applyFill="1" applyBorder="1" applyAlignment="1">
      <alignment horizontal="center" vertical="center"/>
    </xf>
    <xf numFmtId="0" fontId="22" fillId="33" borderId="22" xfId="0" applyFont="1" applyFill="1" applyBorder="1" applyAlignment="1">
      <alignment horizontal="center" vertical="center"/>
    </xf>
    <xf numFmtId="0" fontId="22" fillId="33" borderId="23" xfId="0" applyFont="1" applyFill="1" applyBorder="1" applyAlignment="1">
      <alignment horizontal="center" vertical="center"/>
    </xf>
    <xf numFmtId="0" fontId="22" fillId="33" borderId="24" xfId="0" applyFont="1" applyFill="1" applyBorder="1" applyAlignment="1">
      <alignment horizontal="center" vertical="center"/>
    </xf>
    <xf numFmtId="0" fontId="22" fillId="33" borderId="25" xfId="0" applyFont="1" applyFill="1" applyBorder="1" applyAlignment="1">
      <alignment horizontal="center" vertical="center"/>
    </xf>
    <xf numFmtId="0" fontId="22" fillId="33" borderId="26"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ont>
        <color rgb="FF9C0006"/>
      </font>
      <fill>
        <patternFill>
          <bgColor rgb="FFFFC7CE"/>
        </patternFill>
      </fill>
    </dxf>
    <dxf>
      <font>
        <color theme="4" tint="-0.499984740745262"/>
      </font>
      <fill>
        <patternFill>
          <bgColor theme="4" tint="0.3999450666829432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5" tint="-0.24994659260841701"/>
      </font>
      <fill>
        <patternFill>
          <bgColor rgb="FFFFC000"/>
        </patternFill>
      </fill>
    </dxf>
    <dxf>
      <font>
        <color rgb="FF9C0006"/>
      </font>
      <fill>
        <patternFill>
          <bgColor rgb="FFFFC7CE"/>
        </patternFill>
      </fill>
    </dxf>
    <dxf>
      <font>
        <color theme="4" tint="-0.499984740745262"/>
      </font>
      <fill>
        <patternFill>
          <bgColor theme="4" tint="0.39994506668294322"/>
        </patternFill>
      </fill>
    </dxf>
    <dxf>
      <font>
        <color rgb="FF006100"/>
      </font>
      <fill>
        <patternFill>
          <bgColor rgb="FFC6EFCE"/>
        </patternFill>
      </fill>
    </dxf>
    <dxf>
      <font>
        <color rgb="FF006100"/>
      </font>
      <fill>
        <patternFill>
          <bgColor rgb="FFC6EFCE"/>
        </patternFill>
      </fill>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b/>
      </font>
    </dxf>
  </dxfs>
  <tableStyles count="1" defaultTableStyle="TableStyleMedium2" defaultPivotStyle="PivotStyleLight16">
    <tableStyle name="MY" pivot="0" table="0" count="10" xr9:uid="{AAEF41A7-47B9-4BF9-ABD3-6A2A1CFCC3A5}">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[New_Dashboard_Exam.xlsx]Pivots &amp; Charts!pc vs tr pvt</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Charts'!$B$1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Charts'!$A$2:$A$8</c:f>
              <c:strCache>
                <c:ptCount val="6"/>
                <c:pt idx="0">
                  <c:v>Electronics</c:v>
                </c:pt>
                <c:pt idx="1">
                  <c:v>Home Appliances</c:v>
                </c:pt>
                <c:pt idx="2">
                  <c:v>Sports</c:v>
                </c:pt>
                <c:pt idx="3">
                  <c:v>Clothing</c:v>
                </c:pt>
                <c:pt idx="4">
                  <c:v>Beauty Products</c:v>
                </c:pt>
                <c:pt idx="5">
                  <c:v>Books</c:v>
                </c:pt>
              </c:strCache>
            </c:strRef>
          </c:cat>
          <c:val>
            <c:numRef>
              <c:f>'Pivots &amp; Charts'!$B$2:$B$8</c:f>
              <c:numCache>
                <c:formatCode>0.00</c:formatCode>
                <c:ptCount val="6"/>
                <c:pt idx="0">
                  <c:v>34982.410000000011</c:v>
                </c:pt>
                <c:pt idx="1">
                  <c:v>18646.16</c:v>
                </c:pt>
                <c:pt idx="2">
                  <c:v>14326.519999999997</c:v>
                </c:pt>
                <c:pt idx="3">
                  <c:v>8128.9300000000012</c:v>
                </c:pt>
                <c:pt idx="4">
                  <c:v>2621.8999999999996</c:v>
                </c:pt>
                <c:pt idx="5">
                  <c:v>1861.9300000000007</c:v>
                </c:pt>
              </c:numCache>
            </c:numRef>
          </c:val>
          <c:extLst>
            <c:ext xmlns:c16="http://schemas.microsoft.com/office/drawing/2014/chart" uri="{C3380CC4-5D6E-409C-BE32-E72D297353CC}">
              <c16:uniqueId val="{000000AC-DD71-4A74-BE65-9D3CDA750846}"/>
            </c:ext>
          </c:extLst>
        </c:ser>
        <c:dLbls>
          <c:dLblPos val="outEnd"/>
          <c:showLegendKey val="0"/>
          <c:showVal val="1"/>
          <c:showCatName val="0"/>
          <c:showSerName val="0"/>
          <c:showPercent val="0"/>
          <c:showBubbleSize val="0"/>
        </c:dLbls>
        <c:gapWidth val="219"/>
        <c:overlap val="-27"/>
        <c:axId val="828278415"/>
        <c:axId val="828285615"/>
      </c:barChart>
      <c:catAx>
        <c:axId val="82827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285615"/>
        <c:crosses val="autoZero"/>
        <c:auto val="1"/>
        <c:lblAlgn val="ctr"/>
        <c:lblOffset val="100"/>
        <c:noMultiLvlLbl val="0"/>
      </c:catAx>
      <c:valAx>
        <c:axId val="828285615"/>
        <c:scaling>
          <c:orientation val="minMax"/>
        </c:scaling>
        <c:delete val="1"/>
        <c:axPos val="l"/>
        <c:numFmt formatCode="0.00" sourceLinked="1"/>
        <c:majorTickMark val="none"/>
        <c:minorTickMark val="none"/>
        <c:tickLblPos val="nextTo"/>
        <c:crossAx val="82827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[New_Dashboard_Exam.xlsx]Pivots &amp; Charts!Rgn vs tr pvt</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s>
    <c:plotArea>
      <c:layout>
        <c:manualLayout>
          <c:layoutTarget val="inner"/>
          <c:xMode val="edge"/>
          <c:yMode val="edge"/>
          <c:x val="0.15099693788276466"/>
          <c:y val="9.6201516477107021E-2"/>
          <c:w val="0.5117235345581802"/>
          <c:h val="0.85287255759696701"/>
        </c:manualLayout>
      </c:layout>
      <c:doughnutChart>
        <c:varyColors val="1"/>
        <c:ser>
          <c:idx val="0"/>
          <c:order val="0"/>
          <c:tx>
            <c:strRef>
              <c:f>'Pivots &amp; Charts'!$B$18</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1-F543-4873-947B-0CB669B7F53E}"/>
              </c:ext>
            </c:extLst>
          </c:dPt>
          <c:dPt>
            <c:idx val="1"/>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3-F543-4873-947B-0CB669B7F53E}"/>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F543-4873-947B-0CB669B7F53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Charts'!$A$19:$A$22</c:f>
              <c:strCache>
                <c:ptCount val="3"/>
                <c:pt idx="0">
                  <c:v>North America</c:v>
                </c:pt>
                <c:pt idx="1">
                  <c:v>Asia</c:v>
                </c:pt>
                <c:pt idx="2">
                  <c:v>Europe</c:v>
                </c:pt>
              </c:strCache>
            </c:strRef>
          </c:cat>
          <c:val>
            <c:numRef>
              <c:f>'Pivots &amp; Charts'!$B$19:$B$22</c:f>
              <c:numCache>
                <c:formatCode>0.00</c:formatCode>
                <c:ptCount val="3"/>
                <c:pt idx="0">
                  <c:v>36844.340000000018</c:v>
                </c:pt>
                <c:pt idx="1">
                  <c:v>22455.449999999997</c:v>
                </c:pt>
                <c:pt idx="2">
                  <c:v>21268.060000000005</c:v>
                </c:pt>
              </c:numCache>
            </c:numRef>
          </c:val>
          <c:extLst>
            <c:ext xmlns:c16="http://schemas.microsoft.com/office/drawing/2014/chart" uri="{C3380CC4-5D6E-409C-BE32-E72D297353CC}">
              <c16:uniqueId val="{00000000-F4A1-41CA-9C04-64A6514CD48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[New_Dashboard_Exam.xlsx]Pivots &amp; Charts!pm vs tr pvt</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s>
    <c:plotArea>
      <c:layout>
        <c:manualLayout>
          <c:layoutTarget val="inner"/>
          <c:xMode val="edge"/>
          <c:yMode val="edge"/>
          <c:x val="0.1413604549431321"/>
          <c:y val="9.6201516477107021E-2"/>
          <c:w val="0.5117235345581802"/>
          <c:h val="0.85287255759696701"/>
        </c:manualLayout>
      </c:layout>
      <c:pieChart>
        <c:varyColors val="1"/>
        <c:ser>
          <c:idx val="0"/>
          <c:order val="0"/>
          <c:tx>
            <c:strRef>
              <c:f>'Pivots &amp; Charts'!$B$35</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A618-413C-A99F-165DA09DA935}"/>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A618-413C-A99F-165DA09DA935}"/>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A618-413C-A99F-165DA09DA93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Charts'!$A$36:$A$39</c:f>
              <c:strCache>
                <c:ptCount val="3"/>
                <c:pt idx="0">
                  <c:v>Credit Card</c:v>
                </c:pt>
                <c:pt idx="1">
                  <c:v>Debit Card</c:v>
                </c:pt>
                <c:pt idx="2">
                  <c:v>PayPal</c:v>
                </c:pt>
              </c:strCache>
            </c:strRef>
          </c:cat>
          <c:val>
            <c:numRef>
              <c:f>'Pivots &amp; Charts'!$B$36:$B$39</c:f>
              <c:numCache>
                <c:formatCode>0.00</c:formatCode>
                <c:ptCount val="3"/>
                <c:pt idx="0">
                  <c:v>51170.860000000015</c:v>
                </c:pt>
                <c:pt idx="1">
                  <c:v>8128.9300000000012</c:v>
                </c:pt>
                <c:pt idx="2">
                  <c:v>21268.060000000005</c:v>
                </c:pt>
              </c:numCache>
            </c:numRef>
          </c:val>
          <c:extLst>
            <c:ext xmlns:c16="http://schemas.microsoft.com/office/drawing/2014/chart" uri="{C3380CC4-5D6E-409C-BE32-E72D297353CC}">
              <c16:uniqueId val="{00000000-F86B-4292-8777-C8E2984A11D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666666666666672"/>
          <c:y val="0.28385316418780987"/>
          <c:w val="0.21666666666666665"/>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[New_Dashboard_Exam.xlsx]Pivots &amp; Charts! Month vs tr pvt</c:name>
    <c:fmtId val="1"/>
  </c:pivotSource>
  <c:chart>
    <c:autoTitleDeleted val="1"/>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Charts'!$B$52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 &amp; Charts'!$A$53:$A$61</c:f>
              <c:strCache>
                <c:ptCount val="8"/>
                <c:pt idx="0">
                  <c:v>Jan</c:v>
                </c:pt>
                <c:pt idx="1">
                  <c:v>Feb</c:v>
                </c:pt>
                <c:pt idx="2">
                  <c:v>Mar</c:v>
                </c:pt>
                <c:pt idx="3">
                  <c:v>Apr</c:v>
                </c:pt>
                <c:pt idx="4">
                  <c:v>May</c:v>
                </c:pt>
                <c:pt idx="5">
                  <c:v>Jun</c:v>
                </c:pt>
                <c:pt idx="6">
                  <c:v>Jul</c:v>
                </c:pt>
                <c:pt idx="7">
                  <c:v>Aug</c:v>
                </c:pt>
              </c:strCache>
            </c:strRef>
          </c:cat>
          <c:val>
            <c:numRef>
              <c:f>'Pivots &amp; Charts'!$B$53:$B$61</c:f>
              <c:numCache>
                <c:formatCode>0.00</c:formatCode>
                <c:ptCount val="8"/>
                <c:pt idx="0">
                  <c:v>14548.319999999992</c:v>
                </c:pt>
                <c:pt idx="1">
                  <c:v>10803.369999999999</c:v>
                </c:pt>
                <c:pt idx="2">
                  <c:v>12849.239999999996</c:v>
                </c:pt>
                <c:pt idx="3">
                  <c:v>12451.689999999995</c:v>
                </c:pt>
                <c:pt idx="4">
                  <c:v>8455.49</c:v>
                </c:pt>
                <c:pt idx="5">
                  <c:v>7384.5499999999984</c:v>
                </c:pt>
                <c:pt idx="6">
                  <c:v>6797.08</c:v>
                </c:pt>
                <c:pt idx="7">
                  <c:v>7278.1099999999988</c:v>
                </c:pt>
              </c:numCache>
            </c:numRef>
          </c:val>
          <c:smooth val="0"/>
          <c:extLst>
            <c:ext xmlns:c16="http://schemas.microsoft.com/office/drawing/2014/chart" uri="{C3380CC4-5D6E-409C-BE32-E72D297353CC}">
              <c16:uniqueId val="{00000000-1674-4355-9783-C013A8B9CDAB}"/>
            </c:ext>
          </c:extLst>
        </c:ser>
        <c:dLbls>
          <c:dLblPos val="b"/>
          <c:showLegendKey val="0"/>
          <c:showVal val="1"/>
          <c:showCatName val="0"/>
          <c:showSerName val="0"/>
          <c:showPercent val="0"/>
          <c:showBubbleSize val="0"/>
        </c:dLbls>
        <c:marker val="1"/>
        <c:smooth val="0"/>
        <c:axId val="828282735"/>
        <c:axId val="692512495"/>
      </c:lineChart>
      <c:catAx>
        <c:axId val="82828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92512495"/>
        <c:crosses val="autoZero"/>
        <c:auto val="1"/>
        <c:lblAlgn val="ctr"/>
        <c:lblOffset val="100"/>
        <c:noMultiLvlLbl val="0"/>
      </c:catAx>
      <c:valAx>
        <c:axId val="6925124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828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[New_Dashboard_Exam.xlsx]Pivots &amp; Charts!PivotTable5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95691163604548"/>
          <c:y val="9.6201516477107021E-2"/>
          <c:w val="0.48648753280839896"/>
          <c:h val="0.85287255759696701"/>
        </c:manualLayout>
      </c:layout>
      <c:barChart>
        <c:barDir val="bar"/>
        <c:grouping val="clustered"/>
        <c:varyColors val="0"/>
        <c:ser>
          <c:idx val="0"/>
          <c:order val="0"/>
          <c:tx>
            <c:strRef>
              <c:f>'Pivots &amp; Charts'!$B$69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Charts'!$A$70:$A$80</c:f>
              <c:strCache>
                <c:ptCount val="10"/>
                <c:pt idx="0">
                  <c:v>Canon EOS R5 Camera</c:v>
                </c:pt>
                <c:pt idx="1">
                  <c:v>LG OLED TV</c:v>
                </c:pt>
                <c:pt idx="2">
                  <c:v>MacBook Pro 16-inch</c:v>
                </c:pt>
                <c:pt idx="3">
                  <c:v>Apple MacBook Pro 16-inch</c:v>
                </c:pt>
                <c:pt idx="4">
                  <c:v>iPhone 14 Pro</c:v>
                </c:pt>
                <c:pt idx="5">
                  <c:v>Peloton Bike</c:v>
                </c:pt>
                <c:pt idx="6">
                  <c:v>HP Spectre x360 Laptop</c:v>
                </c:pt>
                <c:pt idx="7">
                  <c:v>Roomba i7+</c:v>
                </c:pt>
                <c:pt idx="8">
                  <c:v>Garmin Forerunner 945</c:v>
                </c:pt>
                <c:pt idx="9">
                  <c:v>Samsung Odyssey G9 Gaming Monitor</c:v>
                </c:pt>
              </c:strCache>
            </c:strRef>
          </c:cat>
          <c:val>
            <c:numRef>
              <c:f>'Pivots &amp; Charts'!$B$70:$B$80</c:f>
              <c:numCache>
                <c:formatCode>0.00</c:formatCode>
                <c:ptCount val="10"/>
                <c:pt idx="0">
                  <c:v>3899.99</c:v>
                </c:pt>
                <c:pt idx="1">
                  <c:v>2599.98</c:v>
                </c:pt>
                <c:pt idx="2">
                  <c:v>2499.9899999999998</c:v>
                </c:pt>
                <c:pt idx="3">
                  <c:v>2399</c:v>
                </c:pt>
                <c:pt idx="4">
                  <c:v>1999.98</c:v>
                </c:pt>
                <c:pt idx="5">
                  <c:v>1895</c:v>
                </c:pt>
                <c:pt idx="6">
                  <c:v>1599.99</c:v>
                </c:pt>
                <c:pt idx="7">
                  <c:v>1599.98</c:v>
                </c:pt>
                <c:pt idx="8">
                  <c:v>1599.97</c:v>
                </c:pt>
                <c:pt idx="9">
                  <c:v>1499.99</c:v>
                </c:pt>
              </c:numCache>
            </c:numRef>
          </c:val>
          <c:extLst>
            <c:ext xmlns:c16="http://schemas.microsoft.com/office/drawing/2014/chart" uri="{C3380CC4-5D6E-409C-BE32-E72D297353CC}">
              <c16:uniqueId val="{00000000-FA42-4B58-865D-43ACC83D44C3}"/>
            </c:ext>
          </c:extLst>
        </c:ser>
        <c:dLbls>
          <c:dLblPos val="outEnd"/>
          <c:showLegendKey val="0"/>
          <c:showVal val="1"/>
          <c:showCatName val="0"/>
          <c:showSerName val="0"/>
          <c:showPercent val="0"/>
          <c:showBubbleSize val="0"/>
        </c:dLbls>
        <c:gapWidth val="182"/>
        <c:axId val="842331151"/>
        <c:axId val="842334991"/>
      </c:barChart>
      <c:catAx>
        <c:axId val="8423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34991"/>
        <c:crosses val="autoZero"/>
        <c:auto val="1"/>
        <c:lblAlgn val="ctr"/>
        <c:lblOffset val="100"/>
        <c:noMultiLvlLbl val="0"/>
      </c:catAx>
      <c:valAx>
        <c:axId val="842334991"/>
        <c:scaling>
          <c:orientation val="minMax"/>
        </c:scaling>
        <c:delete val="1"/>
        <c:axPos val="b"/>
        <c:numFmt formatCode="0.00" sourceLinked="1"/>
        <c:majorTickMark val="none"/>
        <c:minorTickMark val="none"/>
        <c:tickLblPos val="nextTo"/>
        <c:crossAx val="84233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[New_Dashboard_Exam.xlsx]Pivots &amp; Charts!pc vs tr pvt</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Charts'!$B$1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Charts'!$A$2:$A$8</c:f>
              <c:strCache>
                <c:ptCount val="6"/>
                <c:pt idx="0">
                  <c:v>Electronics</c:v>
                </c:pt>
                <c:pt idx="1">
                  <c:v>Home Appliances</c:v>
                </c:pt>
                <c:pt idx="2">
                  <c:v>Sports</c:v>
                </c:pt>
                <c:pt idx="3">
                  <c:v>Clothing</c:v>
                </c:pt>
                <c:pt idx="4">
                  <c:v>Beauty Products</c:v>
                </c:pt>
                <c:pt idx="5">
                  <c:v>Books</c:v>
                </c:pt>
              </c:strCache>
            </c:strRef>
          </c:cat>
          <c:val>
            <c:numRef>
              <c:f>'Pivots &amp; Charts'!$B$2:$B$8</c:f>
              <c:numCache>
                <c:formatCode>0.00</c:formatCode>
                <c:ptCount val="6"/>
                <c:pt idx="0">
                  <c:v>34982.410000000011</c:v>
                </c:pt>
                <c:pt idx="1">
                  <c:v>18646.16</c:v>
                </c:pt>
                <c:pt idx="2">
                  <c:v>14326.519999999997</c:v>
                </c:pt>
                <c:pt idx="3">
                  <c:v>8128.9300000000012</c:v>
                </c:pt>
                <c:pt idx="4">
                  <c:v>2621.8999999999996</c:v>
                </c:pt>
                <c:pt idx="5">
                  <c:v>1861.9300000000007</c:v>
                </c:pt>
              </c:numCache>
            </c:numRef>
          </c:val>
          <c:extLst>
            <c:ext xmlns:c16="http://schemas.microsoft.com/office/drawing/2014/chart" uri="{C3380CC4-5D6E-409C-BE32-E72D297353CC}">
              <c16:uniqueId val="{00000000-67F6-4041-95AC-91B177082F91}"/>
            </c:ext>
          </c:extLst>
        </c:ser>
        <c:dLbls>
          <c:dLblPos val="outEnd"/>
          <c:showLegendKey val="0"/>
          <c:showVal val="1"/>
          <c:showCatName val="0"/>
          <c:showSerName val="0"/>
          <c:showPercent val="0"/>
          <c:showBubbleSize val="0"/>
        </c:dLbls>
        <c:gapWidth val="219"/>
        <c:overlap val="-27"/>
        <c:axId val="828278415"/>
        <c:axId val="828285615"/>
      </c:barChart>
      <c:catAx>
        <c:axId val="82827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28285615"/>
        <c:crosses val="autoZero"/>
        <c:auto val="1"/>
        <c:lblAlgn val="ctr"/>
        <c:lblOffset val="100"/>
        <c:noMultiLvlLbl val="0"/>
      </c:catAx>
      <c:valAx>
        <c:axId val="828285615"/>
        <c:scaling>
          <c:orientation val="minMax"/>
        </c:scaling>
        <c:delete val="1"/>
        <c:axPos val="l"/>
        <c:numFmt formatCode="0.00" sourceLinked="1"/>
        <c:majorTickMark val="none"/>
        <c:minorTickMark val="none"/>
        <c:tickLblPos val="nextTo"/>
        <c:crossAx val="82827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[New_Dashboard_Exam.xlsx]Pivots &amp; Charts!Rgn vs tr pvt</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s>
    <c:plotArea>
      <c:layout>
        <c:manualLayout>
          <c:layoutTarget val="inner"/>
          <c:xMode val="edge"/>
          <c:yMode val="edge"/>
          <c:x val="0.15099693788276466"/>
          <c:y val="9.6201516477107021E-2"/>
          <c:w val="0.5117235345581802"/>
          <c:h val="0.85287255759696701"/>
        </c:manualLayout>
      </c:layout>
      <c:doughnutChart>
        <c:varyColors val="1"/>
        <c:ser>
          <c:idx val="0"/>
          <c:order val="0"/>
          <c:tx>
            <c:strRef>
              <c:f>'Pivots &amp; Charts'!$B$18</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1-E886-4397-9E12-AC0AF287F892}"/>
              </c:ext>
            </c:extLst>
          </c:dPt>
          <c:dPt>
            <c:idx val="1"/>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3-E886-4397-9E12-AC0AF287F892}"/>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E886-4397-9E12-AC0AF287F89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Charts'!$A$19:$A$22</c:f>
              <c:strCache>
                <c:ptCount val="3"/>
                <c:pt idx="0">
                  <c:v>North America</c:v>
                </c:pt>
                <c:pt idx="1">
                  <c:v>Asia</c:v>
                </c:pt>
                <c:pt idx="2">
                  <c:v>Europe</c:v>
                </c:pt>
              </c:strCache>
            </c:strRef>
          </c:cat>
          <c:val>
            <c:numRef>
              <c:f>'Pivots &amp; Charts'!$B$19:$B$22</c:f>
              <c:numCache>
                <c:formatCode>0.00</c:formatCode>
                <c:ptCount val="3"/>
                <c:pt idx="0">
                  <c:v>36844.340000000018</c:v>
                </c:pt>
                <c:pt idx="1">
                  <c:v>22455.449999999997</c:v>
                </c:pt>
                <c:pt idx="2">
                  <c:v>21268.060000000005</c:v>
                </c:pt>
              </c:numCache>
            </c:numRef>
          </c:val>
          <c:extLst>
            <c:ext xmlns:c16="http://schemas.microsoft.com/office/drawing/2014/chart" uri="{C3380CC4-5D6E-409C-BE32-E72D297353CC}">
              <c16:uniqueId val="{00000006-E886-4397-9E12-AC0AF287F89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[New_Dashboard_Exam.xlsx]Pivots &amp; Charts!pm vs tr pvt</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layout>
            <c:manualLayout>
              <c:x val="-5.5208333333333352E-2"/>
              <c:y val="0.103148235803304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13604549431321"/>
          <c:y val="9.6201516477107021E-2"/>
          <c:w val="0.5117235345581802"/>
          <c:h val="0.85287255759696701"/>
        </c:manualLayout>
      </c:layout>
      <c:pieChart>
        <c:varyColors val="1"/>
        <c:ser>
          <c:idx val="0"/>
          <c:order val="0"/>
          <c:tx>
            <c:strRef>
              <c:f>'Pivots &amp; Charts'!$B$35</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5261-4C25-9670-AD3224C043C2}"/>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5261-4C25-9670-AD3224C043C2}"/>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5261-4C25-9670-AD3224C043C2}"/>
              </c:ext>
            </c:extLst>
          </c:dPt>
          <c:dLbls>
            <c:dLbl>
              <c:idx val="2"/>
              <c:layout>
                <c:manualLayout>
                  <c:x val="-5.5208333333333352E-2"/>
                  <c:y val="0.1031482358033041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61-4C25-9670-AD3224C043C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Charts'!$A$36:$A$39</c:f>
              <c:strCache>
                <c:ptCount val="3"/>
                <c:pt idx="0">
                  <c:v>Credit Card</c:v>
                </c:pt>
                <c:pt idx="1">
                  <c:v>Debit Card</c:v>
                </c:pt>
                <c:pt idx="2">
                  <c:v>PayPal</c:v>
                </c:pt>
              </c:strCache>
            </c:strRef>
          </c:cat>
          <c:val>
            <c:numRef>
              <c:f>'Pivots &amp; Charts'!$B$36:$B$39</c:f>
              <c:numCache>
                <c:formatCode>0.00</c:formatCode>
                <c:ptCount val="3"/>
                <c:pt idx="0">
                  <c:v>51170.860000000015</c:v>
                </c:pt>
                <c:pt idx="1">
                  <c:v>8128.9300000000012</c:v>
                </c:pt>
                <c:pt idx="2">
                  <c:v>21268.060000000005</c:v>
                </c:pt>
              </c:numCache>
            </c:numRef>
          </c:val>
          <c:extLst>
            <c:ext xmlns:c16="http://schemas.microsoft.com/office/drawing/2014/chart" uri="{C3380CC4-5D6E-409C-BE32-E72D297353CC}">
              <c16:uniqueId val="{00000006-5261-4C25-9670-AD3224C043C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666666666666672"/>
          <c:y val="0.28385316418780987"/>
          <c:w val="0.21666666666666665"/>
          <c:h val="0.3016429717118693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[New_Dashboard_Exam.xlsx]Pivots &amp; Charts!PivotTable5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12352362204717"/>
          <c:y val="9.6201516477107021E-2"/>
          <c:w val="0.50732086614173233"/>
          <c:h val="0.85287255759696701"/>
        </c:manualLayout>
      </c:layout>
      <c:barChart>
        <c:barDir val="bar"/>
        <c:grouping val="clustered"/>
        <c:varyColors val="0"/>
        <c:ser>
          <c:idx val="0"/>
          <c:order val="0"/>
          <c:tx>
            <c:strRef>
              <c:f>'Pivots &amp; Charts'!$B$69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Charts'!$A$70:$A$80</c:f>
              <c:strCache>
                <c:ptCount val="10"/>
                <c:pt idx="0">
                  <c:v>Canon EOS R5 Camera</c:v>
                </c:pt>
                <c:pt idx="1">
                  <c:v>LG OLED TV</c:v>
                </c:pt>
                <c:pt idx="2">
                  <c:v>MacBook Pro 16-inch</c:v>
                </c:pt>
                <c:pt idx="3">
                  <c:v>Apple MacBook Pro 16-inch</c:v>
                </c:pt>
                <c:pt idx="4">
                  <c:v>iPhone 14 Pro</c:v>
                </c:pt>
                <c:pt idx="5">
                  <c:v>Peloton Bike</c:v>
                </c:pt>
                <c:pt idx="6">
                  <c:v>HP Spectre x360 Laptop</c:v>
                </c:pt>
                <c:pt idx="7">
                  <c:v>Roomba i7+</c:v>
                </c:pt>
                <c:pt idx="8">
                  <c:v>Garmin Forerunner 945</c:v>
                </c:pt>
                <c:pt idx="9">
                  <c:v>Samsung Odyssey G9 Gaming Monitor</c:v>
                </c:pt>
              </c:strCache>
            </c:strRef>
          </c:cat>
          <c:val>
            <c:numRef>
              <c:f>'Pivots &amp; Charts'!$B$70:$B$80</c:f>
              <c:numCache>
                <c:formatCode>0.00</c:formatCode>
                <c:ptCount val="10"/>
                <c:pt idx="0">
                  <c:v>3899.99</c:v>
                </c:pt>
                <c:pt idx="1">
                  <c:v>2599.98</c:v>
                </c:pt>
                <c:pt idx="2">
                  <c:v>2499.9899999999998</c:v>
                </c:pt>
                <c:pt idx="3">
                  <c:v>2399</c:v>
                </c:pt>
                <c:pt idx="4">
                  <c:v>1999.98</c:v>
                </c:pt>
                <c:pt idx="5">
                  <c:v>1895</c:v>
                </c:pt>
                <c:pt idx="6">
                  <c:v>1599.99</c:v>
                </c:pt>
                <c:pt idx="7">
                  <c:v>1599.98</c:v>
                </c:pt>
                <c:pt idx="8">
                  <c:v>1599.97</c:v>
                </c:pt>
                <c:pt idx="9">
                  <c:v>1499.99</c:v>
                </c:pt>
              </c:numCache>
            </c:numRef>
          </c:val>
          <c:extLst>
            <c:ext xmlns:c16="http://schemas.microsoft.com/office/drawing/2014/chart" uri="{C3380CC4-5D6E-409C-BE32-E72D297353CC}">
              <c16:uniqueId val="{00000000-2699-4DAA-A7B0-33A964439519}"/>
            </c:ext>
          </c:extLst>
        </c:ser>
        <c:dLbls>
          <c:dLblPos val="outEnd"/>
          <c:showLegendKey val="0"/>
          <c:showVal val="1"/>
          <c:showCatName val="0"/>
          <c:showSerName val="0"/>
          <c:showPercent val="0"/>
          <c:showBubbleSize val="0"/>
        </c:dLbls>
        <c:gapWidth val="182"/>
        <c:axId val="842331151"/>
        <c:axId val="842334991"/>
      </c:barChart>
      <c:catAx>
        <c:axId val="8423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2334991"/>
        <c:crosses val="autoZero"/>
        <c:auto val="1"/>
        <c:lblAlgn val="ctr"/>
        <c:lblOffset val="100"/>
        <c:noMultiLvlLbl val="0"/>
      </c:catAx>
      <c:valAx>
        <c:axId val="842334991"/>
        <c:scaling>
          <c:orientation val="minMax"/>
        </c:scaling>
        <c:delete val="1"/>
        <c:axPos val="b"/>
        <c:numFmt formatCode="0.00" sourceLinked="1"/>
        <c:majorTickMark val="none"/>
        <c:minorTickMark val="none"/>
        <c:tickLblPos val="nextTo"/>
        <c:crossAx val="84233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[New_Dashboard_Exam.xlsx]Pivots &amp; Charts! Month vs tr pvt</c:name>
    <c:fmtId val="7"/>
  </c:pivotSource>
  <c:chart>
    <c:autoTitleDeleted val="1"/>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Charts'!$B$52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 &amp; Charts'!$A$53:$A$61</c:f>
              <c:strCache>
                <c:ptCount val="8"/>
                <c:pt idx="0">
                  <c:v>Jan</c:v>
                </c:pt>
                <c:pt idx="1">
                  <c:v>Feb</c:v>
                </c:pt>
                <c:pt idx="2">
                  <c:v>Mar</c:v>
                </c:pt>
                <c:pt idx="3">
                  <c:v>Apr</c:v>
                </c:pt>
                <c:pt idx="4">
                  <c:v>May</c:v>
                </c:pt>
                <c:pt idx="5">
                  <c:v>Jun</c:v>
                </c:pt>
                <c:pt idx="6">
                  <c:v>Jul</c:v>
                </c:pt>
                <c:pt idx="7">
                  <c:v>Aug</c:v>
                </c:pt>
              </c:strCache>
            </c:strRef>
          </c:cat>
          <c:val>
            <c:numRef>
              <c:f>'Pivots &amp; Charts'!$B$53:$B$61</c:f>
              <c:numCache>
                <c:formatCode>0.00</c:formatCode>
                <c:ptCount val="8"/>
                <c:pt idx="0">
                  <c:v>14548.319999999992</c:v>
                </c:pt>
                <c:pt idx="1">
                  <c:v>10803.369999999999</c:v>
                </c:pt>
                <c:pt idx="2">
                  <c:v>12849.239999999996</c:v>
                </c:pt>
                <c:pt idx="3">
                  <c:v>12451.689999999995</c:v>
                </c:pt>
                <c:pt idx="4">
                  <c:v>8455.49</c:v>
                </c:pt>
                <c:pt idx="5">
                  <c:v>7384.5499999999984</c:v>
                </c:pt>
                <c:pt idx="6">
                  <c:v>6797.08</c:v>
                </c:pt>
                <c:pt idx="7">
                  <c:v>7278.1099999999988</c:v>
                </c:pt>
              </c:numCache>
            </c:numRef>
          </c:val>
          <c:smooth val="0"/>
          <c:extLst>
            <c:ext xmlns:c16="http://schemas.microsoft.com/office/drawing/2014/chart" uri="{C3380CC4-5D6E-409C-BE32-E72D297353CC}">
              <c16:uniqueId val="{00000000-AA6B-4A06-B7BD-29FE9BB1C5FD}"/>
            </c:ext>
          </c:extLst>
        </c:ser>
        <c:dLbls>
          <c:dLblPos val="b"/>
          <c:showLegendKey val="0"/>
          <c:showVal val="1"/>
          <c:showCatName val="0"/>
          <c:showSerName val="0"/>
          <c:showPercent val="0"/>
          <c:showBubbleSize val="0"/>
        </c:dLbls>
        <c:marker val="1"/>
        <c:smooth val="0"/>
        <c:axId val="828282735"/>
        <c:axId val="692512495"/>
      </c:lineChart>
      <c:catAx>
        <c:axId val="82828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n-lt"/>
                <a:ea typeface="+mn-ea"/>
                <a:cs typeface="+mn-cs"/>
              </a:defRPr>
            </a:pPr>
            <a:endParaRPr lang="en-US"/>
          </a:p>
        </c:txPr>
        <c:crossAx val="692512495"/>
        <c:crosses val="autoZero"/>
        <c:auto val="1"/>
        <c:lblAlgn val="ctr"/>
        <c:lblOffset val="100"/>
        <c:noMultiLvlLbl val="0"/>
      </c:catAx>
      <c:valAx>
        <c:axId val="6925124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828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ivots &amp; Charts'!A1"/><Relationship Id="rId3" Type="http://schemas.openxmlformats.org/officeDocument/2006/relationships/chart" Target="../charts/chart8.xml"/><Relationship Id="rId7" Type="http://schemas.openxmlformats.org/officeDocument/2006/relationships/hyperlink" Target="#'Online Sales Data'!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hyperlink" Target="#Task_4!A1"/></Relationships>
</file>

<file path=xl/drawings/drawing1.xml><?xml version="1.0" encoding="utf-8"?>
<xdr:wsDr xmlns:xdr="http://schemas.openxmlformats.org/drawingml/2006/spreadsheetDrawing" xmlns:a="http://schemas.openxmlformats.org/drawingml/2006/main">
  <xdr:twoCellAnchor>
    <xdr:from>
      <xdr:col>4</xdr:col>
      <xdr:colOff>7620</xdr:colOff>
      <xdr:row>0</xdr:row>
      <xdr:rowOff>0</xdr:rowOff>
    </xdr:from>
    <xdr:to>
      <xdr:col>11</xdr:col>
      <xdr:colOff>312420</xdr:colOff>
      <xdr:row>15</xdr:row>
      <xdr:rowOff>0</xdr:rowOff>
    </xdr:to>
    <xdr:graphicFrame macro="">
      <xdr:nvGraphicFramePr>
        <xdr:cNvPr id="3" name="pc vs tr">
          <a:extLst>
            <a:ext uri="{FF2B5EF4-FFF2-40B4-BE49-F238E27FC236}">
              <a16:creationId xmlns:a16="http://schemas.microsoft.com/office/drawing/2014/main" id="{049FE2AC-8360-56EF-49D4-229ADF221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16</xdr:row>
      <xdr:rowOff>179070</xdr:rowOff>
    </xdr:from>
    <xdr:to>
      <xdr:col>11</xdr:col>
      <xdr:colOff>304800</xdr:colOff>
      <xdr:row>31</xdr:row>
      <xdr:rowOff>179070</xdr:rowOff>
    </xdr:to>
    <xdr:graphicFrame macro="">
      <xdr:nvGraphicFramePr>
        <xdr:cNvPr id="4" name="Rgn vs tr">
          <a:extLst>
            <a:ext uri="{FF2B5EF4-FFF2-40B4-BE49-F238E27FC236}">
              <a16:creationId xmlns:a16="http://schemas.microsoft.com/office/drawing/2014/main" id="{A2F81302-D009-847F-BBA3-364FE9F7F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33</xdr:row>
      <xdr:rowOff>179070</xdr:rowOff>
    </xdr:from>
    <xdr:to>
      <xdr:col>11</xdr:col>
      <xdr:colOff>304800</xdr:colOff>
      <xdr:row>48</xdr:row>
      <xdr:rowOff>179070</xdr:rowOff>
    </xdr:to>
    <xdr:graphicFrame macro="">
      <xdr:nvGraphicFramePr>
        <xdr:cNvPr id="5" name="Chart 4">
          <a:extLst>
            <a:ext uri="{FF2B5EF4-FFF2-40B4-BE49-F238E27FC236}">
              <a16:creationId xmlns:a16="http://schemas.microsoft.com/office/drawing/2014/main" id="{FAEBA93E-07B2-3417-D301-D653ACA1D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50</xdr:row>
      <xdr:rowOff>179070</xdr:rowOff>
    </xdr:from>
    <xdr:to>
      <xdr:col>11</xdr:col>
      <xdr:colOff>304800</xdr:colOff>
      <xdr:row>65</xdr:row>
      <xdr:rowOff>179070</xdr:rowOff>
    </xdr:to>
    <xdr:graphicFrame macro="">
      <xdr:nvGraphicFramePr>
        <xdr:cNvPr id="6" name="Month vs TR">
          <a:extLst>
            <a:ext uri="{FF2B5EF4-FFF2-40B4-BE49-F238E27FC236}">
              <a16:creationId xmlns:a16="http://schemas.microsoft.com/office/drawing/2014/main" id="{02132BF2-612A-1AB9-F7B6-BCE7F4349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68</xdr:row>
      <xdr:rowOff>3810</xdr:rowOff>
    </xdr:from>
    <xdr:to>
      <xdr:col>11</xdr:col>
      <xdr:colOff>304800</xdr:colOff>
      <xdr:row>83</xdr:row>
      <xdr:rowOff>3810</xdr:rowOff>
    </xdr:to>
    <xdr:graphicFrame macro="">
      <xdr:nvGraphicFramePr>
        <xdr:cNvPr id="7" name="Chart 6">
          <a:extLst>
            <a:ext uri="{FF2B5EF4-FFF2-40B4-BE49-F238E27FC236}">
              <a16:creationId xmlns:a16="http://schemas.microsoft.com/office/drawing/2014/main" id="{F67DC1B1-3A0D-2795-A31B-E01661CA1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601980</xdr:colOff>
      <xdr:row>0</xdr:row>
      <xdr:rowOff>0</xdr:rowOff>
    </xdr:from>
    <xdr:to>
      <xdr:col>15</xdr:col>
      <xdr:colOff>601980</xdr:colOff>
      <xdr:row>13</xdr:row>
      <xdr:rowOff>89535</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1C8B4AE5-DA43-FE7A-C616-DCA7A416985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2811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15</xdr:row>
      <xdr:rowOff>15240</xdr:rowOff>
    </xdr:from>
    <xdr:to>
      <xdr:col>16</xdr:col>
      <xdr:colOff>0</xdr:colOff>
      <xdr:row>28</xdr:row>
      <xdr:rowOff>104775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5E35E71-EBF4-152A-25ED-7371486FA0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88780" y="2758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0</xdr:row>
      <xdr:rowOff>0</xdr:rowOff>
    </xdr:from>
    <xdr:to>
      <xdr:col>19</xdr:col>
      <xdr:colOff>228600</xdr:colOff>
      <xdr:row>13</xdr:row>
      <xdr:rowOff>89535</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DF033F9D-594F-7C73-E324-E52544A41F4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34618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320040</xdr:colOff>
      <xdr:row>15</xdr:row>
      <xdr:rowOff>7620</xdr:rowOff>
    </xdr:from>
    <xdr:to>
      <xdr:col>19</xdr:col>
      <xdr:colOff>91440</xdr:colOff>
      <xdr:row>22</xdr:row>
      <xdr:rowOff>99060</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A545D87B-A2D9-EDEE-10B9-E3B65C8F5E4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2268200" y="2750820"/>
              <a:ext cx="16002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179293</xdr:colOff>
      <xdr:row>6</xdr:row>
      <xdr:rowOff>6</xdr:rowOff>
    </xdr:from>
    <xdr:to>
      <xdr:col>14</xdr:col>
      <xdr:colOff>0</xdr:colOff>
      <xdr:row>21</xdr:row>
      <xdr:rowOff>6</xdr:rowOff>
    </xdr:to>
    <xdr:graphicFrame macro="">
      <xdr:nvGraphicFramePr>
        <xdr:cNvPr id="2" name="pc vs tr">
          <a:extLst>
            <a:ext uri="{FF2B5EF4-FFF2-40B4-BE49-F238E27FC236}">
              <a16:creationId xmlns:a16="http://schemas.microsoft.com/office/drawing/2014/main" id="{2F40F8BF-5E4A-44EC-B3A8-347BCDF46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6125</xdr:colOff>
      <xdr:row>22</xdr:row>
      <xdr:rowOff>6</xdr:rowOff>
    </xdr:from>
    <xdr:to>
      <xdr:col>14</xdr:col>
      <xdr:colOff>8964</xdr:colOff>
      <xdr:row>37</xdr:row>
      <xdr:rowOff>6</xdr:rowOff>
    </xdr:to>
    <xdr:graphicFrame macro="">
      <xdr:nvGraphicFramePr>
        <xdr:cNvPr id="3" name="Rgn vs tr">
          <a:extLst>
            <a:ext uri="{FF2B5EF4-FFF2-40B4-BE49-F238E27FC236}">
              <a16:creationId xmlns:a16="http://schemas.microsoft.com/office/drawing/2014/main" id="{6DD24FFC-A2BE-495B-8E9A-CDD9A71DC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xdr:row>
      <xdr:rowOff>6</xdr:rowOff>
    </xdr:from>
    <xdr:to>
      <xdr:col>25</xdr:col>
      <xdr:colOff>0</xdr:colOff>
      <xdr:row>21</xdr:row>
      <xdr:rowOff>6</xdr:rowOff>
    </xdr:to>
    <xdr:graphicFrame macro="">
      <xdr:nvGraphicFramePr>
        <xdr:cNvPr id="4" name="Chart 3">
          <a:extLst>
            <a:ext uri="{FF2B5EF4-FFF2-40B4-BE49-F238E27FC236}">
              <a16:creationId xmlns:a16="http://schemas.microsoft.com/office/drawing/2014/main" id="{8BC86520-C1E7-4445-AC96-9B69D98C8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22</xdr:row>
      <xdr:rowOff>6</xdr:rowOff>
    </xdr:from>
    <xdr:to>
      <xdr:col>25</xdr:col>
      <xdr:colOff>0</xdr:colOff>
      <xdr:row>37</xdr:row>
      <xdr:rowOff>6</xdr:rowOff>
    </xdr:to>
    <xdr:graphicFrame macro="">
      <xdr:nvGraphicFramePr>
        <xdr:cNvPr id="5" name="Chart 4">
          <a:extLst>
            <a:ext uri="{FF2B5EF4-FFF2-40B4-BE49-F238E27FC236}">
              <a16:creationId xmlns:a16="http://schemas.microsoft.com/office/drawing/2014/main" id="{6577C084-7907-4C53-9023-0ABAE95E4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38</xdr:row>
      <xdr:rowOff>6</xdr:rowOff>
    </xdr:from>
    <xdr:to>
      <xdr:col>25</xdr:col>
      <xdr:colOff>0</xdr:colOff>
      <xdr:row>53</xdr:row>
      <xdr:rowOff>5</xdr:rowOff>
    </xdr:to>
    <xdr:graphicFrame macro="">
      <xdr:nvGraphicFramePr>
        <xdr:cNvPr id="6" name="Month vs TR">
          <a:extLst>
            <a:ext uri="{FF2B5EF4-FFF2-40B4-BE49-F238E27FC236}">
              <a16:creationId xmlns:a16="http://schemas.microsoft.com/office/drawing/2014/main" id="{0D33E011-F173-4DC7-B378-BF8D60886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0</xdr:colOff>
      <xdr:row>32</xdr:row>
      <xdr:rowOff>0</xdr:rowOff>
    </xdr:from>
    <xdr:to>
      <xdr:col>30</xdr:col>
      <xdr:colOff>0</xdr:colOff>
      <xdr:row>41</xdr:row>
      <xdr:rowOff>154940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6F2DAD2C-DF44-4DB2-8798-ADE4798449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575280" y="5928360"/>
              <a:ext cx="2423160" cy="1846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6</xdr:row>
      <xdr:rowOff>7620</xdr:rowOff>
    </xdr:from>
    <xdr:to>
      <xdr:col>29</xdr:col>
      <xdr:colOff>601980</xdr:colOff>
      <xdr:row>13</xdr:row>
      <xdr:rowOff>152400</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2BD169DF-3A2C-4334-ABAD-CCF72170F35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5575280" y="1104900"/>
              <a:ext cx="241554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0</xdr:colOff>
      <xdr:row>15</xdr:row>
      <xdr:rowOff>7620</xdr:rowOff>
    </xdr:from>
    <xdr:to>
      <xdr:col>30</xdr:col>
      <xdr:colOff>0</xdr:colOff>
      <xdr:row>30</xdr:row>
      <xdr:rowOff>167640</xdr:rowOff>
    </xdr:to>
    <mc:AlternateContent xmlns:mc="http://schemas.openxmlformats.org/markup-compatibility/2006">
      <mc:Choice xmlns:a14="http://schemas.microsoft.com/office/drawing/2010/main" Requires="a14">
        <xdr:graphicFrame macro="">
          <xdr:nvGraphicFramePr>
            <xdr:cNvPr id="11" name="Product Category 1">
              <a:extLst>
                <a:ext uri="{FF2B5EF4-FFF2-40B4-BE49-F238E27FC236}">
                  <a16:creationId xmlns:a16="http://schemas.microsoft.com/office/drawing/2014/main" id="{7523778A-1A4D-4FF8-822C-53AD1BDE101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5575280" y="2796540"/>
              <a:ext cx="242316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43</xdr:row>
      <xdr:rowOff>1</xdr:rowOff>
    </xdr:from>
    <xdr:to>
      <xdr:col>30</xdr:col>
      <xdr:colOff>7620</xdr:colOff>
      <xdr:row>53</xdr:row>
      <xdr:rowOff>1</xdr:rowOff>
    </xdr:to>
    <mc:AlternateContent xmlns:mc="http://schemas.openxmlformats.org/markup-compatibility/2006">
      <mc:Choice xmlns:a14="http://schemas.microsoft.com/office/drawing/2010/main" Requires="a14">
        <xdr:graphicFrame macro="">
          <xdr:nvGraphicFramePr>
            <xdr:cNvPr id="12" name="Payment Method 1">
              <a:extLst>
                <a:ext uri="{FF2B5EF4-FFF2-40B4-BE49-F238E27FC236}">
                  <a16:creationId xmlns:a16="http://schemas.microsoft.com/office/drawing/2014/main" id="{D9848D1C-E0BA-49AA-8FEF-46FB431BDC5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5575280" y="7985761"/>
              <a:ext cx="243078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736600</xdr:colOff>
      <xdr:row>0</xdr:row>
      <xdr:rowOff>0</xdr:rowOff>
    </xdr:from>
    <xdr:to>
      <xdr:col>2</xdr:col>
      <xdr:colOff>56274</xdr:colOff>
      <xdr:row>6</xdr:row>
      <xdr:rowOff>25400</xdr:rowOff>
    </xdr:to>
    <xdr:pic>
      <xdr:nvPicPr>
        <xdr:cNvPr id="14" name="Picture 13">
          <a:extLst>
            <a:ext uri="{FF2B5EF4-FFF2-40B4-BE49-F238E27FC236}">
              <a16:creationId xmlns:a16="http://schemas.microsoft.com/office/drawing/2014/main" id="{2629681F-868F-E6E6-653C-A9D8776698A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36600" y="0"/>
          <a:ext cx="1059574" cy="1092200"/>
        </a:xfrm>
        <a:prstGeom prst="rect">
          <a:avLst/>
        </a:prstGeom>
      </xdr:spPr>
    </xdr:pic>
    <xdr:clientData/>
  </xdr:twoCellAnchor>
  <xdr:twoCellAnchor>
    <xdr:from>
      <xdr:col>0</xdr:col>
      <xdr:colOff>0</xdr:colOff>
      <xdr:row>43</xdr:row>
      <xdr:rowOff>12700</xdr:rowOff>
    </xdr:from>
    <xdr:to>
      <xdr:col>1</xdr:col>
      <xdr:colOff>508000</xdr:colOff>
      <xdr:row>45</xdr:row>
      <xdr:rowOff>12700</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E8D464FB-0ACA-729E-4359-402E383CACD7}"/>
            </a:ext>
          </a:extLst>
        </xdr:cNvPr>
        <xdr:cNvSpPr/>
      </xdr:nvSpPr>
      <xdr:spPr>
        <a:xfrm>
          <a:off x="0" y="7658100"/>
          <a:ext cx="1320800" cy="355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TASK 1</a:t>
          </a:r>
          <a:endParaRPr lang="en-IN" sz="1800">
            <a:effectLst/>
          </a:endParaRPr>
        </a:p>
      </xdr:txBody>
    </xdr:sp>
    <xdr:clientData/>
  </xdr:twoCellAnchor>
  <xdr:twoCellAnchor>
    <xdr:from>
      <xdr:col>1</xdr:col>
      <xdr:colOff>723900</xdr:colOff>
      <xdr:row>43</xdr:row>
      <xdr:rowOff>0</xdr:rowOff>
    </xdr:from>
    <xdr:to>
      <xdr:col>2</xdr:col>
      <xdr:colOff>1066800</xdr:colOff>
      <xdr:row>45</xdr:row>
      <xdr:rowOff>12700</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75904006-103A-4815-BB06-E3DA5C87ED4A}"/>
            </a:ext>
          </a:extLst>
        </xdr:cNvPr>
        <xdr:cNvSpPr/>
      </xdr:nvSpPr>
      <xdr:spPr>
        <a:xfrm>
          <a:off x="1536700" y="7645400"/>
          <a:ext cx="1270000" cy="368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TASK</a:t>
          </a:r>
          <a:r>
            <a:rPr lang="en-IN" sz="1800" b="1" baseline="0"/>
            <a:t> 2</a:t>
          </a:r>
          <a:endParaRPr lang="en-IN" sz="1800" b="1"/>
        </a:p>
      </xdr:txBody>
    </xdr:sp>
    <xdr:clientData/>
  </xdr:twoCellAnchor>
  <xdr:twoCellAnchor>
    <xdr:from>
      <xdr:col>0</xdr:col>
      <xdr:colOff>0</xdr:colOff>
      <xdr:row>46</xdr:row>
      <xdr:rowOff>76200</xdr:rowOff>
    </xdr:from>
    <xdr:to>
      <xdr:col>1</xdr:col>
      <xdr:colOff>508000</xdr:colOff>
      <xdr:row>48</xdr:row>
      <xdr:rowOff>101600</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114A5A9A-8F69-4365-9495-4E3184AD69FA}"/>
            </a:ext>
          </a:extLst>
        </xdr:cNvPr>
        <xdr:cNvSpPr/>
      </xdr:nvSpPr>
      <xdr:spPr>
        <a:xfrm>
          <a:off x="0" y="8255000"/>
          <a:ext cx="13208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TASK 3</a:t>
          </a:r>
        </a:p>
      </xdr:txBody>
    </xdr:sp>
    <xdr:clientData/>
  </xdr:twoCellAnchor>
  <xdr:twoCellAnchor>
    <xdr:from>
      <xdr:col>1</xdr:col>
      <xdr:colOff>736600</xdr:colOff>
      <xdr:row>46</xdr:row>
      <xdr:rowOff>88900</xdr:rowOff>
    </xdr:from>
    <xdr:to>
      <xdr:col>2</xdr:col>
      <xdr:colOff>1079500</xdr:colOff>
      <xdr:row>48</xdr:row>
      <xdr:rowOff>88900</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8D4BFF03-1A9F-4F20-9E9B-7ECECF63B01D}"/>
            </a:ext>
          </a:extLst>
        </xdr:cNvPr>
        <xdr:cNvSpPr/>
      </xdr:nvSpPr>
      <xdr:spPr>
        <a:xfrm>
          <a:off x="1549400" y="8267700"/>
          <a:ext cx="1270000" cy="355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TASK 4</a:t>
          </a:r>
        </a:p>
      </xdr:txBody>
    </xdr:sp>
    <xdr:clientData/>
  </xdr:twoCellAnchor>
  <xdr:twoCellAnchor>
    <xdr:from>
      <xdr:col>0</xdr:col>
      <xdr:colOff>0</xdr:colOff>
      <xdr:row>50</xdr:row>
      <xdr:rowOff>0</xdr:rowOff>
    </xdr:from>
    <xdr:to>
      <xdr:col>1</xdr:col>
      <xdr:colOff>508000</xdr:colOff>
      <xdr:row>51</xdr:row>
      <xdr:rowOff>165100</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60F53925-116C-4592-9AA4-46E0BD9D9761}"/>
            </a:ext>
          </a:extLst>
        </xdr:cNvPr>
        <xdr:cNvSpPr/>
      </xdr:nvSpPr>
      <xdr:spPr>
        <a:xfrm>
          <a:off x="0" y="8890000"/>
          <a:ext cx="1320800" cy="34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TASK 5</a:t>
          </a:r>
          <a:endParaRPr lang="en-IN" sz="1800" b="1"/>
        </a:p>
      </xdr:txBody>
    </xdr:sp>
    <xdr:clientData/>
  </xdr:twoCellAnchor>
  <xdr:twoCellAnchor>
    <xdr:from>
      <xdr:col>1</xdr:col>
      <xdr:colOff>749300</xdr:colOff>
      <xdr:row>50</xdr:row>
      <xdr:rowOff>0</xdr:rowOff>
    </xdr:from>
    <xdr:to>
      <xdr:col>3</xdr:col>
      <xdr:colOff>0</xdr:colOff>
      <xdr:row>51</xdr:row>
      <xdr:rowOff>165100</xdr:rowOff>
    </xdr:to>
    <xdr:sp macro="" textlink="">
      <xdr:nvSpPr>
        <xdr:cNvPr id="20" name="Rectangle: Rounded Corners 19">
          <a:hlinkClick xmlns:r="http://schemas.openxmlformats.org/officeDocument/2006/relationships" r:id="rId8"/>
          <a:extLst>
            <a:ext uri="{FF2B5EF4-FFF2-40B4-BE49-F238E27FC236}">
              <a16:creationId xmlns:a16="http://schemas.microsoft.com/office/drawing/2014/main" id="{E6D3029B-83DD-4E49-9F78-EE1CFFE4004E}"/>
            </a:ext>
          </a:extLst>
        </xdr:cNvPr>
        <xdr:cNvSpPr/>
      </xdr:nvSpPr>
      <xdr:spPr>
        <a:xfrm>
          <a:off x="1562100" y="8890000"/>
          <a:ext cx="1270000" cy="34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TASK 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patil" refreshedDate="46175.370998379629" createdVersion="8" refreshedVersion="8" minRefreshableVersion="3" recordCount="240" xr:uid="{B14E4B7D-1CF6-4D73-9DD2-718728C3F7DE}">
  <cacheSource type="worksheet">
    <worksheetSource name="Sales_Data"/>
  </cacheSource>
  <cacheFields count="11">
    <cacheField name="Transaction ID" numFmtId="1">
      <sharedItems containsSemiMixedTypes="0" containsString="0" containsNumber="1" containsInteger="1" minValue="10001" maxValue="10240" count="24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sharedItems>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fieldGroup par="10"/>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Ã¨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1">
      <sharedItems containsSemiMixedTypes="0" containsString="0" containsNumber="1" containsInteger="1" minValue="1" maxValue="10" count="7">
        <n v="2"/>
        <n v="1"/>
        <n v="3"/>
        <n v="4"/>
        <n v="5"/>
        <n v="6"/>
        <n v="10"/>
      </sharedItems>
    </cacheField>
    <cacheField name="Unit Price" numFmtId="2">
      <sharedItems containsSemiMixedTypes="0" containsString="0" containsNumber="1" minValue="6.5" maxValue="3899.99"/>
    </cacheField>
    <cacheField name="Total Revenue" numFmtId="2">
      <sharedItems containsSemiMixedTypes="0" containsString="0" containsNumber="1" minValue="6.5" maxValue="3899.99" count="173">
        <n v="1999.98"/>
        <n v="499.99"/>
        <n v="209.97"/>
        <n v="63.96"/>
        <n v="89.99"/>
        <n v="149.94999999999999"/>
        <n v="2499.9899999999998"/>
        <n v="1199.98"/>
        <n v="539.94000000000005"/>
        <n v="51.98"/>
        <n v="129.99"/>
        <n v="599.97"/>
        <n v="1499.98"/>
        <n v="189.99"/>
        <n v="499.98"/>
        <n v="107.97"/>
        <n v="399.99"/>
        <n v="479.96"/>
        <n v="999.98"/>
        <n v="99.99"/>
        <n v="179.97"/>
        <n v="45.98"/>
        <n v="49.99"/>
        <n v="89.97"/>
        <n v="299.99"/>
        <n v="179.99"/>
        <n v="359.98"/>
        <n v="38.97"/>
        <n v="29.99"/>
        <n v="259.98"/>
        <n v="699.98"/>
        <n v="269.97000000000003"/>
        <n v="79.959999999999994"/>
        <n v="79.98"/>
        <n v="1895"/>
        <n v="1199.97"/>
        <n v="1599.98"/>
        <n v="239.96"/>
        <n v="74.97"/>
        <n v="105"/>
        <n v="199.99"/>
        <n v="279.98"/>
        <n v="130"/>
        <n v="52"/>
        <n v="239.94"/>
        <n v="464.97"/>
        <n v="53.98"/>
        <n v="49"/>
        <n v="249.95"/>
        <n v="84"/>
        <n v="46"/>
        <n v="349"/>
        <n v="899.97"/>
        <n v="399.98"/>
        <n v="99.9"/>
        <n v="75.959999999999994"/>
        <n v="102"/>
        <n v="599.98"/>
        <n v="1199.99"/>
        <n v="659.97"/>
        <n v="21.98"/>
        <n v="78"/>
        <n v="389.97"/>
        <n v="1599.99"/>
        <n v="899.99"/>
        <n v="59.96"/>
        <n v="32"/>
        <n v="179.98"/>
        <n v="100"/>
        <n v="149.94"/>
        <n v="2599.98"/>
        <n v="239.97"/>
        <n v="55.96"/>
        <n v="199.98"/>
        <n v="319.95999999999998"/>
        <n v="44.97"/>
        <n v="68"/>
        <n v="999.99"/>
        <n v="349.99"/>
        <n v="119.94"/>
        <n v="25.98"/>
        <n v="82"/>
        <n v="219.98"/>
        <n v="3899.99"/>
        <n v="119.97"/>
        <n v="43.96"/>
        <n v="6.5"/>
        <n v="459.98"/>
        <n v="159.99"/>
        <n v="37.979999999999997"/>
        <n v="15"/>
        <n v="689.85"/>
        <n v="249.99"/>
        <n v="599.9"/>
        <n v="149.97"/>
        <n v="67.959999999999994"/>
        <n v="29.98"/>
        <n v="64.95"/>
        <n v="30"/>
        <n v="799.98"/>
        <n v="294"/>
        <n v="17.98"/>
        <n v="36"/>
        <n v="159.80000000000001"/>
        <n v="1299.99"/>
        <n v="159.97999999999999"/>
        <n v="139.96"/>
        <n v="29.97"/>
        <n v="6.8"/>
        <n v="199.9"/>
        <n v="1499.99"/>
        <n v="139.99"/>
        <n v="134.97"/>
        <n v="23.98"/>
        <n v="29.5"/>
        <n v="549"/>
        <n v="399.9"/>
        <n v="196"/>
        <n v="32.97"/>
        <n v="25"/>
        <n v="299.98"/>
        <n v="164.97"/>
        <n v="33.979999999999997"/>
        <n v="59"/>
        <n v="499.95"/>
        <n v="99.96"/>
        <n v="23.97"/>
        <n v="69.98"/>
        <n v="35.96"/>
        <n v="16.989999999999998"/>
        <n v="699.99"/>
        <n v="104.97"/>
        <n v="19.98"/>
        <n v="99.98"/>
        <n v="59.6"/>
        <n v="35.97"/>
        <n v="146"/>
        <n v="649.99"/>
        <n v="190"/>
        <n v="399"/>
        <n v="398"/>
        <n v="18"/>
        <n v="169.95"/>
        <n v="199.95"/>
        <n v="125"/>
        <n v="449.99"/>
        <n v="358"/>
        <n v="99.95"/>
        <n v="379.99"/>
        <n v="50.97"/>
        <n v="79"/>
        <n v="129"/>
        <n v="749.99"/>
        <n v="339.98"/>
        <n v="39.6"/>
        <n v="58"/>
        <n v="2399"/>
        <n v="27"/>
        <n v="599.99"/>
        <n v="199.96"/>
        <n v="89.98"/>
        <n v="80.97"/>
        <n v="6.7"/>
        <n v="299.89999999999998"/>
        <n v="169"/>
        <n v="599"/>
        <n v="259.95999999999998"/>
        <n v="24"/>
        <n v="98.85"/>
        <n v="299"/>
        <n v="270"/>
        <n v="55"/>
        <n v="59.98"/>
      </sharedItems>
    </cacheField>
    <cacheField name="Region" numFmtId="0">
      <sharedItems count="3">
        <s v="North America"/>
        <s v="Europe"/>
        <s v="Asia"/>
      </sharedItems>
    </cacheField>
    <cacheField name="Payment Method" numFmtId="0">
      <sharedItems count="3">
        <s v="Credit Card"/>
        <s v="PayPal"/>
        <s v="Debit Card"/>
      </sharedItems>
    </cacheField>
    <cacheField name="Days (Date)" numFmtId="0" databaseField="0">
      <fieldGroup base="1">
        <rangePr groupBy="days" startDate="2024-01-01T00:00:00" endDate="2024-08-28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8-2024"/>
        </groupItems>
      </fieldGroup>
    </cacheField>
    <cacheField name="Months (Date)" numFmtId="0" databaseField="0">
      <fieldGroup base="1">
        <rangePr groupBy="months" startDate="2024-01-01T00:00:00" endDate="2024-08-28T00:00:00"/>
        <groupItems count="14">
          <s v="&lt;01-01-2024"/>
          <s v="Jan"/>
          <s v="Feb"/>
          <s v="Mar"/>
          <s v="Apr"/>
          <s v="May"/>
          <s v="Jun"/>
          <s v="Jul"/>
          <s v="Aug"/>
          <s v="Sep"/>
          <s v="Oct"/>
          <s v="Nov"/>
          <s v="Dec"/>
          <s v="&gt;28-08-2024"/>
        </groupItems>
      </fieldGroup>
    </cacheField>
  </cacheFields>
  <extLst>
    <ext xmlns:x14="http://schemas.microsoft.com/office/spreadsheetml/2009/9/main" uri="{725AE2AE-9491-48be-B2B4-4EB974FC3084}">
      <x14:pivotCacheDefinition pivotCacheId="1685017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n v="999.99"/>
    <x v="0"/>
    <x v="0"/>
    <x v="0"/>
  </r>
  <r>
    <x v="1"/>
    <x v="1"/>
    <x v="1"/>
    <x v="1"/>
    <x v="1"/>
    <n v="499.99"/>
    <x v="1"/>
    <x v="1"/>
    <x v="1"/>
  </r>
  <r>
    <x v="2"/>
    <x v="2"/>
    <x v="2"/>
    <x v="2"/>
    <x v="2"/>
    <n v="69.989999999999995"/>
    <x v="2"/>
    <x v="2"/>
    <x v="2"/>
  </r>
  <r>
    <x v="3"/>
    <x v="3"/>
    <x v="3"/>
    <x v="3"/>
    <x v="3"/>
    <n v="15.99"/>
    <x v="3"/>
    <x v="0"/>
    <x v="0"/>
  </r>
  <r>
    <x v="4"/>
    <x v="4"/>
    <x v="4"/>
    <x v="4"/>
    <x v="1"/>
    <n v="89.99"/>
    <x v="4"/>
    <x v="1"/>
    <x v="1"/>
  </r>
  <r>
    <x v="5"/>
    <x v="5"/>
    <x v="5"/>
    <x v="5"/>
    <x v="4"/>
    <n v="29.99"/>
    <x v="5"/>
    <x v="2"/>
    <x v="0"/>
  </r>
  <r>
    <x v="6"/>
    <x v="6"/>
    <x v="0"/>
    <x v="6"/>
    <x v="1"/>
    <n v="2499.9899999999998"/>
    <x v="6"/>
    <x v="0"/>
    <x v="0"/>
  </r>
  <r>
    <x v="7"/>
    <x v="7"/>
    <x v="1"/>
    <x v="7"/>
    <x v="0"/>
    <n v="599.99"/>
    <x v="7"/>
    <x v="1"/>
    <x v="1"/>
  </r>
  <r>
    <x v="8"/>
    <x v="8"/>
    <x v="2"/>
    <x v="8"/>
    <x v="5"/>
    <n v="89.99"/>
    <x v="8"/>
    <x v="2"/>
    <x v="2"/>
  </r>
  <r>
    <x v="9"/>
    <x v="9"/>
    <x v="3"/>
    <x v="9"/>
    <x v="0"/>
    <n v="25.99"/>
    <x v="9"/>
    <x v="0"/>
    <x v="0"/>
  </r>
  <r>
    <x v="10"/>
    <x v="10"/>
    <x v="4"/>
    <x v="10"/>
    <x v="1"/>
    <n v="129.99"/>
    <x v="10"/>
    <x v="1"/>
    <x v="1"/>
  </r>
  <r>
    <x v="11"/>
    <x v="11"/>
    <x v="5"/>
    <x v="11"/>
    <x v="2"/>
    <n v="199.99"/>
    <x v="11"/>
    <x v="2"/>
    <x v="0"/>
  </r>
  <r>
    <x v="12"/>
    <x v="12"/>
    <x v="0"/>
    <x v="12"/>
    <x v="0"/>
    <n v="749.99"/>
    <x v="12"/>
    <x v="0"/>
    <x v="0"/>
  </r>
  <r>
    <x v="13"/>
    <x v="13"/>
    <x v="1"/>
    <x v="13"/>
    <x v="1"/>
    <n v="189.99"/>
    <x v="13"/>
    <x v="1"/>
    <x v="1"/>
  </r>
  <r>
    <x v="14"/>
    <x v="14"/>
    <x v="2"/>
    <x v="14"/>
    <x v="0"/>
    <n v="249.99"/>
    <x v="14"/>
    <x v="2"/>
    <x v="2"/>
  </r>
  <r>
    <x v="15"/>
    <x v="15"/>
    <x v="3"/>
    <x v="15"/>
    <x v="2"/>
    <n v="35.99"/>
    <x v="15"/>
    <x v="0"/>
    <x v="0"/>
  </r>
  <r>
    <x v="16"/>
    <x v="16"/>
    <x v="4"/>
    <x v="16"/>
    <x v="1"/>
    <n v="399.99"/>
    <x v="16"/>
    <x v="1"/>
    <x v="1"/>
  </r>
  <r>
    <x v="17"/>
    <x v="17"/>
    <x v="5"/>
    <x v="17"/>
    <x v="3"/>
    <n v="119.99"/>
    <x v="17"/>
    <x v="2"/>
    <x v="0"/>
  </r>
  <r>
    <x v="18"/>
    <x v="18"/>
    <x v="0"/>
    <x v="18"/>
    <x v="0"/>
    <n v="499.99"/>
    <x v="18"/>
    <x v="0"/>
    <x v="0"/>
  </r>
  <r>
    <x v="19"/>
    <x v="19"/>
    <x v="1"/>
    <x v="19"/>
    <x v="1"/>
    <n v="99.99"/>
    <x v="19"/>
    <x v="1"/>
    <x v="1"/>
  </r>
  <r>
    <x v="20"/>
    <x v="20"/>
    <x v="2"/>
    <x v="20"/>
    <x v="2"/>
    <n v="59.99"/>
    <x v="20"/>
    <x v="2"/>
    <x v="2"/>
  </r>
  <r>
    <x v="21"/>
    <x v="21"/>
    <x v="3"/>
    <x v="21"/>
    <x v="0"/>
    <n v="22.99"/>
    <x v="21"/>
    <x v="0"/>
    <x v="0"/>
  </r>
  <r>
    <x v="22"/>
    <x v="22"/>
    <x v="4"/>
    <x v="22"/>
    <x v="1"/>
    <n v="49.99"/>
    <x v="22"/>
    <x v="1"/>
    <x v="1"/>
  </r>
  <r>
    <x v="23"/>
    <x v="23"/>
    <x v="5"/>
    <x v="23"/>
    <x v="2"/>
    <n v="29.99"/>
    <x v="23"/>
    <x v="2"/>
    <x v="0"/>
  </r>
  <r>
    <x v="24"/>
    <x v="24"/>
    <x v="0"/>
    <x v="24"/>
    <x v="1"/>
    <n v="299.99"/>
    <x v="24"/>
    <x v="0"/>
    <x v="0"/>
  </r>
  <r>
    <x v="25"/>
    <x v="25"/>
    <x v="1"/>
    <x v="25"/>
    <x v="1"/>
    <n v="179.99"/>
    <x v="25"/>
    <x v="1"/>
    <x v="1"/>
  </r>
  <r>
    <x v="26"/>
    <x v="26"/>
    <x v="2"/>
    <x v="26"/>
    <x v="0"/>
    <n v="179.99"/>
    <x v="26"/>
    <x v="2"/>
    <x v="2"/>
  </r>
  <r>
    <x v="27"/>
    <x v="27"/>
    <x v="3"/>
    <x v="27"/>
    <x v="2"/>
    <n v="12.99"/>
    <x v="27"/>
    <x v="0"/>
    <x v="0"/>
  </r>
  <r>
    <x v="28"/>
    <x v="28"/>
    <x v="4"/>
    <x v="28"/>
    <x v="1"/>
    <n v="29.99"/>
    <x v="28"/>
    <x v="1"/>
    <x v="1"/>
  </r>
  <r>
    <x v="29"/>
    <x v="29"/>
    <x v="5"/>
    <x v="29"/>
    <x v="0"/>
    <n v="129.99"/>
    <x v="29"/>
    <x v="2"/>
    <x v="0"/>
  </r>
  <r>
    <x v="30"/>
    <x v="30"/>
    <x v="0"/>
    <x v="30"/>
    <x v="0"/>
    <n v="349.99"/>
    <x v="30"/>
    <x v="0"/>
    <x v="0"/>
  </r>
  <r>
    <x v="31"/>
    <x v="31"/>
    <x v="1"/>
    <x v="31"/>
    <x v="2"/>
    <n v="89.99"/>
    <x v="31"/>
    <x v="1"/>
    <x v="1"/>
  </r>
  <r>
    <x v="32"/>
    <x v="32"/>
    <x v="2"/>
    <x v="32"/>
    <x v="4"/>
    <n v="29.99"/>
    <x v="5"/>
    <x v="2"/>
    <x v="2"/>
  </r>
  <r>
    <x v="33"/>
    <x v="33"/>
    <x v="3"/>
    <x v="33"/>
    <x v="3"/>
    <n v="19.989999999999998"/>
    <x v="32"/>
    <x v="0"/>
    <x v="0"/>
  </r>
  <r>
    <x v="34"/>
    <x v="34"/>
    <x v="4"/>
    <x v="34"/>
    <x v="0"/>
    <n v="39.99"/>
    <x v="33"/>
    <x v="1"/>
    <x v="1"/>
  </r>
  <r>
    <x v="35"/>
    <x v="35"/>
    <x v="5"/>
    <x v="35"/>
    <x v="1"/>
    <n v="1895"/>
    <x v="34"/>
    <x v="2"/>
    <x v="0"/>
  </r>
  <r>
    <x v="36"/>
    <x v="36"/>
    <x v="0"/>
    <x v="36"/>
    <x v="2"/>
    <n v="399.99"/>
    <x v="35"/>
    <x v="0"/>
    <x v="0"/>
  </r>
  <r>
    <x v="37"/>
    <x v="37"/>
    <x v="1"/>
    <x v="37"/>
    <x v="0"/>
    <n v="799.99"/>
    <x v="36"/>
    <x v="1"/>
    <x v="1"/>
  </r>
  <r>
    <x v="38"/>
    <x v="38"/>
    <x v="2"/>
    <x v="38"/>
    <x v="3"/>
    <n v="59.99"/>
    <x v="37"/>
    <x v="2"/>
    <x v="2"/>
  </r>
  <r>
    <x v="39"/>
    <x v="39"/>
    <x v="3"/>
    <x v="39"/>
    <x v="2"/>
    <n v="24.99"/>
    <x v="38"/>
    <x v="0"/>
    <x v="0"/>
  </r>
  <r>
    <x v="40"/>
    <x v="40"/>
    <x v="4"/>
    <x v="40"/>
    <x v="1"/>
    <n v="105"/>
    <x v="39"/>
    <x v="1"/>
    <x v="1"/>
  </r>
  <r>
    <x v="41"/>
    <x v="41"/>
    <x v="5"/>
    <x v="41"/>
    <x v="0"/>
    <n v="129.99"/>
    <x v="29"/>
    <x v="2"/>
    <x v="0"/>
  </r>
  <r>
    <x v="42"/>
    <x v="42"/>
    <x v="0"/>
    <x v="42"/>
    <x v="2"/>
    <n v="399.99"/>
    <x v="35"/>
    <x v="0"/>
    <x v="0"/>
  </r>
  <r>
    <x v="43"/>
    <x v="43"/>
    <x v="1"/>
    <x v="43"/>
    <x v="1"/>
    <n v="199.99"/>
    <x v="40"/>
    <x v="1"/>
    <x v="1"/>
  </r>
  <r>
    <x v="44"/>
    <x v="44"/>
    <x v="2"/>
    <x v="44"/>
    <x v="0"/>
    <n v="139.99"/>
    <x v="41"/>
    <x v="2"/>
    <x v="2"/>
  </r>
  <r>
    <x v="45"/>
    <x v="45"/>
    <x v="3"/>
    <x v="45"/>
    <x v="3"/>
    <n v="32.5"/>
    <x v="42"/>
    <x v="0"/>
    <x v="0"/>
  </r>
  <r>
    <x v="46"/>
    <x v="46"/>
    <x v="4"/>
    <x v="46"/>
    <x v="1"/>
    <n v="52"/>
    <x v="43"/>
    <x v="1"/>
    <x v="1"/>
  </r>
  <r>
    <x v="47"/>
    <x v="47"/>
    <x v="5"/>
    <x v="47"/>
    <x v="5"/>
    <n v="39.99"/>
    <x v="44"/>
    <x v="2"/>
    <x v="0"/>
  </r>
  <r>
    <x v="48"/>
    <x v="48"/>
    <x v="0"/>
    <x v="48"/>
    <x v="0"/>
    <n v="129.99"/>
    <x v="29"/>
    <x v="0"/>
    <x v="0"/>
  </r>
  <r>
    <x v="49"/>
    <x v="49"/>
    <x v="1"/>
    <x v="49"/>
    <x v="1"/>
    <n v="299.99"/>
    <x v="24"/>
    <x v="1"/>
    <x v="1"/>
  </r>
  <r>
    <x v="50"/>
    <x v="50"/>
    <x v="2"/>
    <x v="50"/>
    <x v="2"/>
    <n v="154.99"/>
    <x v="45"/>
    <x v="2"/>
    <x v="2"/>
  </r>
  <r>
    <x v="51"/>
    <x v="51"/>
    <x v="3"/>
    <x v="51"/>
    <x v="0"/>
    <n v="26.99"/>
    <x v="46"/>
    <x v="0"/>
    <x v="0"/>
  </r>
  <r>
    <x v="52"/>
    <x v="52"/>
    <x v="4"/>
    <x v="52"/>
    <x v="1"/>
    <n v="49"/>
    <x v="47"/>
    <x v="1"/>
    <x v="1"/>
  </r>
  <r>
    <x v="53"/>
    <x v="53"/>
    <x v="5"/>
    <x v="53"/>
    <x v="4"/>
    <n v="49.99"/>
    <x v="48"/>
    <x v="2"/>
    <x v="0"/>
  </r>
  <r>
    <x v="54"/>
    <x v="54"/>
    <x v="0"/>
    <x v="54"/>
    <x v="3"/>
    <n v="59.99"/>
    <x v="37"/>
    <x v="0"/>
    <x v="0"/>
  </r>
  <r>
    <x v="55"/>
    <x v="55"/>
    <x v="1"/>
    <x v="55"/>
    <x v="1"/>
    <n v="499.99"/>
    <x v="1"/>
    <x v="1"/>
    <x v="1"/>
  </r>
  <r>
    <x v="56"/>
    <x v="56"/>
    <x v="2"/>
    <x v="56"/>
    <x v="4"/>
    <n v="29.99"/>
    <x v="5"/>
    <x v="2"/>
    <x v="2"/>
  </r>
  <r>
    <x v="57"/>
    <x v="57"/>
    <x v="3"/>
    <x v="57"/>
    <x v="2"/>
    <n v="28"/>
    <x v="49"/>
    <x v="0"/>
    <x v="0"/>
  </r>
  <r>
    <x v="58"/>
    <x v="58"/>
    <x v="4"/>
    <x v="58"/>
    <x v="0"/>
    <n v="23"/>
    <x v="50"/>
    <x v="1"/>
    <x v="1"/>
  </r>
  <r>
    <x v="59"/>
    <x v="59"/>
    <x v="5"/>
    <x v="59"/>
    <x v="1"/>
    <n v="349"/>
    <x v="51"/>
    <x v="2"/>
    <x v="0"/>
  </r>
  <r>
    <x v="60"/>
    <x v="60"/>
    <x v="0"/>
    <x v="60"/>
    <x v="2"/>
    <n v="299.99"/>
    <x v="52"/>
    <x v="0"/>
    <x v="0"/>
  </r>
  <r>
    <x v="61"/>
    <x v="61"/>
    <x v="1"/>
    <x v="61"/>
    <x v="0"/>
    <n v="199.99"/>
    <x v="53"/>
    <x v="1"/>
    <x v="1"/>
  </r>
  <r>
    <x v="62"/>
    <x v="62"/>
    <x v="2"/>
    <x v="62"/>
    <x v="6"/>
    <n v="9.99"/>
    <x v="54"/>
    <x v="2"/>
    <x v="2"/>
  </r>
  <r>
    <x v="63"/>
    <x v="63"/>
    <x v="3"/>
    <x v="63"/>
    <x v="3"/>
    <n v="18.989999999999998"/>
    <x v="55"/>
    <x v="0"/>
    <x v="0"/>
  </r>
  <r>
    <x v="64"/>
    <x v="64"/>
    <x v="4"/>
    <x v="64"/>
    <x v="1"/>
    <n v="102"/>
    <x v="56"/>
    <x v="1"/>
    <x v="1"/>
  </r>
  <r>
    <x v="65"/>
    <x v="65"/>
    <x v="5"/>
    <x v="65"/>
    <x v="0"/>
    <n v="299.99"/>
    <x v="57"/>
    <x v="2"/>
    <x v="0"/>
  </r>
  <r>
    <x v="66"/>
    <x v="66"/>
    <x v="0"/>
    <x v="66"/>
    <x v="1"/>
    <n v="1199.99"/>
    <x v="58"/>
    <x v="0"/>
    <x v="0"/>
  </r>
  <r>
    <x v="67"/>
    <x v="67"/>
    <x v="1"/>
    <x v="67"/>
    <x v="2"/>
    <n v="219.99"/>
    <x v="59"/>
    <x v="1"/>
    <x v="1"/>
  </r>
  <r>
    <x v="68"/>
    <x v="68"/>
    <x v="2"/>
    <x v="68"/>
    <x v="3"/>
    <n v="59.99"/>
    <x v="37"/>
    <x v="2"/>
    <x v="2"/>
  </r>
  <r>
    <x v="69"/>
    <x v="69"/>
    <x v="3"/>
    <x v="69"/>
    <x v="0"/>
    <n v="10.99"/>
    <x v="60"/>
    <x v="0"/>
    <x v="0"/>
  </r>
  <r>
    <x v="70"/>
    <x v="70"/>
    <x v="4"/>
    <x v="70"/>
    <x v="1"/>
    <n v="78"/>
    <x v="61"/>
    <x v="1"/>
    <x v="1"/>
  </r>
  <r>
    <x v="71"/>
    <x v="71"/>
    <x v="5"/>
    <x v="71"/>
    <x v="2"/>
    <n v="129.99"/>
    <x v="62"/>
    <x v="2"/>
    <x v="0"/>
  </r>
  <r>
    <x v="72"/>
    <x v="72"/>
    <x v="0"/>
    <x v="72"/>
    <x v="1"/>
    <n v="1599.99"/>
    <x v="63"/>
    <x v="0"/>
    <x v="0"/>
  </r>
  <r>
    <x v="73"/>
    <x v="73"/>
    <x v="1"/>
    <x v="73"/>
    <x v="1"/>
    <n v="899.99"/>
    <x v="64"/>
    <x v="1"/>
    <x v="1"/>
  </r>
  <r>
    <x v="74"/>
    <x v="74"/>
    <x v="2"/>
    <x v="74"/>
    <x v="4"/>
    <n v="49.99"/>
    <x v="48"/>
    <x v="2"/>
    <x v="2"/>
  </r>
  <r>
    <x v="75"/>
    <x v="75"/>
    <x v="3"/>
    <x v="75"/>
    <x v="3"/>
    <n v="14.99"/>
    <x v="65"/>
    <x v="0"/>
    <x v="0"/>
  </r>
  <r>
    <x v="76"/>
    <x v="76"/>
    <x v="4"/>
    <x v="76"/>
    <x v="0"/>
    <n v="16"/>
    <x v="66"/>
    <x v="1"/>
    <x v="1"/>
  </r>
  <r>
    <x v="77"/>
    <x v="77"/>
    <x v="5"/>
    <x v="77"/>
    <x v="2"/>
    <n v="69.989999999999995"/>
    <x v="2"/>
    <x v="2"/>
    <x v="0"/>
  </r>
  <r>
    <x v="78"/>
    <x v="78"/>
    <x v="0"/>
    <x v="78"/>
    <x v="0"/>
    <n v="249.99"/>
    <x v="14"/>
    <x v="0"/>
    <x v="0"/>
  </r>
  <r>
    <x v="79"/>
    <x v="79"/>
    <x v="1"/>
    <x v="79"/>
    <x v="1"/>
    <n v="499.99"/>
    <x v="1"/>
    <x v="1"/>
    <x v="1"/>
  </r>
  <r>
    <x v="80"/>
    <x v="80"/>
    <x v="2"/>
    <x v="80"/>
    <x v="0"/>
    <n v="89.99"/>
    <x v="67"/>
    <x v="2"/>
    <x v="2"/>
  </r>
  <r>
    <x v="81"/>
    <x v="81"/>
    <x v="3"/>
    <x v="81"/>
    <x v="2"/>
    <n v="12.99"/>
    <x v="27"/>
    <x v="0"/>
    <x v="0"/>
  </r>
  <r>
    <x v="82"/>
    <x v="82"/>
    <x v="4"/>
    <x v="82"/>
    <x v="1"/>
    <n v="100"/>
    <x v="68"/>
    <x v="1"/>
    <x v="1"/>
  </r>
  <r>
    <x v="83"/>
    <x v="83"/>
    <x v="5"/>
    <x v="83"/>
    <x v="5"/>
    <n v="24.99"/>
    <x v="69"/>
    <x v="2"/>
    <x v="0"/>
  </r>
  <r>
    <x v="84"/>
    <x v="84"/>
    <x v="0"/>
    <x v="84"/>
    <x v="1"/>
    <n v="99.99"/>
    <x v="19"/>
    <x v="0"/>
    <x v="0"/>
  </r>
  <r>
    <x v="85"/>
    <x v="85"/>
    <x v="1"/>
    <x v="85"/>
    <x v="0"/>
    <n v="1299.99"/>
    <x v="70"/>
    <x v="1"/>
    <x v="1"/>
  </r>
  <r>
    <x v="86"/>
    <x v="86"/>
    <x v="2"/>
    <x v="86"/>
    <x v="2"/>
    <n v="79.989999999999995"/>
    <x v="71"/>
    <x v="2"/>
    <x v="2"/>
  </r>
  <r>
    <x v="87"/>
    <x v="87"/>
    <x v="3"/>
    <x v="87"/>
    <x v="3"/>
    <n v="13.99"/>
    <x v="72"/>
    <x v="0"/>
    <x v="0"/>
  </r>
  <r>
    <x v="88"/>
    <x v="88"/>
    <x v="4"/>
    <x v="88"/>
    <x v="1"/>
    <n v="105"/>
    <x v="39"/>
    <x v="1"/>
    <x v="1"/>
  </r>
  <r>
    <x v="89"/>
    <x v="89"/>
    <x v="5"/>
    <x v="89"/>
    <x v="0"/>
    <n v="129.99"/>
    <x v="29"/>
    <x v="2"/>
    <x v="0"/>
  </r>
  <r>
    <x v="90"/>
    <x v="90"/>
    <x v="0"/>
    <x v="90"/>
    <x v="0"/>
    <n v="99.99"/>
    <x v="73"/>
    <x v="0"/>
    <x v="0"/>
  </r>
  <r>
    <x v="91"/>
    <x v="91"/>
    <x v="1"/>
    <x v="91"/>
    <x v="1"/>
    <n v="179.99"/>
    <x v="25"/>
    <x v="1"/>
    <x v="1"/>
  </r>
  <r>
    <x v="92"/>
    <x v="92"/>
    <x v="2"/>
    <x v="92"/>
    <x v="3"/>
    <n v="79.989999999999995"/>
    <x v="74"/>
    <x v="2"/>
    <x v="2"/>
  </r>
  <r>
    <x v="93"/>
    <x v="93"/>
    <x v="3"/>
    <x v="93"/>
    <x v="2"/>
    <n v="14.99"/>
    <x v="75"/>
    <x v="0"/>
    <x v="0"/>
  </r>
  <r>
    <x v="94"/>
    <x v="94"/>
    <x v="4"/>
    <x v="94"/>
    <x v="1"/>
    <n v="68"/>
    <x v="76"/>
    <x v="1"/>
    <x v="1"/>
  </r>
  <r>
    <x v="95"/>
    <x v="95"/>
    <x v="5"/>
    <x v="95"/>
    <x v="1"/>
    <n v="999.99"/>
    <x v="77"/>
    <x v="2"/>
    <x v="0"/>
  </r>
  <r>
    <x v="96"/>
    <x v="96"/>
    <x v="0"/>
    <x v="96"/>
    <x v="2"/>
    <n v="299.99"/>
    <x v="52"/>
    <x v="0"/>
    <x v="0"/>
  </r>
  <r>
    <x v="97"/>
    <x v="97"/>
    <x v="1"/>
    <x v="97"/>
    <x v="1"/>
    <n v="349.99"/>
    <x v="78"/>
    <x v="1"/>
    <x v="1"/>
  </r>
  <r>
    <x v="98"/>
    <x v="98"/>
    <x v="2"/>
    <x v="98"/>
    <x v="5"/>
    <n v="19.989999999999998"/>
    <x v="79"/>
    <x v="2"/>
    <x v="2"/>
  </r>
  <r>
    <x v="99"/>
    <x v="99"/>
    <x v="3"/>
    <x v="99"/>
    <x v="0"/>
    <n v="12.99"/>
    <x v="80"/>
    <x v="0"/>
    <x v="0"/>
  </r>
  <r>
    <x v="100"/>
    <x v="100"/>
    <x v="4"/>
    <x v="100"/>
    <x v="1"/>
    <n v="82"/>
    <x v="81"/>
    <x v="1"/>
    <x v="1"/>
  </r>
  <r>
    <x v="101"/>
    <x v="101"/>
    <x v="5"/>
    <x v="101"/>
    <x v="0"/>
    <n v="109.99"/>
    <x v="82"/>
    <x v="2"/>
    <x v="0"/>
  </r>
  <r>
    <x v="102"/>
    <x v="102"/>
    <x v="0"/>
    <x v="102"/>
    <x v="1"/>
    <n v="3899.99"/>
    <x v="83"/>
    <x v="0"/>
    <x v="0"/>
  </r>
  <r>
    <x v="103"/>
    <x v="103"/>
    <x v="1"/>
    <x v="103"/>
    <x v="0"/>
    <n v="349.99"/>
    <x v="30"/>
    <x v="1"/>
    <x v="1"/>
  </r>
  <r>
    <x v="104"/>
    <x v="104"/>
    <x v="2"/>
    <x v="104"/>
    <x v="2"/>
    <n v="39.99"/>
    <x v="84"/>
    <x v="2"/>
    <x v="2"/>
  </r>
  <r>
    <x v="105"/>
    <x v="105"/>
    <x v="3"/>
    <x v="105"/>
    <x v="3"/>
    <n v="10.99"/>
    <x v="85"/>
    <x v="0"/>
    <x v="0"/>
  </r>
  <r>
    <x v="106"/>
    <x v="106"/>
    <x v="4"/>
    <x v="106"/>
    <x v="1"/>
    <n v="6.5"/>
    <x v="86"/>
    <x v="1"/>
    <x v="1"/>
  </r>
  <r>
    <x v="107"/>
    <x v="107"/>
    <x v="5"/>
    <x v="107"/>
    <x v="1"/>
    <n v="399.99"/>
    <x v="16"/>
    <x v="2"/>
    <x v="0"/>
  </r>
  <r>
    <x v="108"/>
    <x v="108"/>
    <x v="0"/>
    <x v="108"/>
    <x v="0"/>
    <n v="229.99"/>
    <x v="87"/>
    <x v="0"/>
    <x v="0"/>
  </r>
  <r>
    <x v="109"/>
    <x v="109"/>
    <x v="1"/>
    <x v="109"/>
    <x v="1"/>
    <n v="159.99"/>
    <x v="88"/>
    <x v="1"/>
    <x v="1"/>
  </r>
  <r>
    <x v="110"/>
    <x v="110"/>
    <x v="2"/>
    <x v="110"/>
    <x v="3"/>
    <n v="14.99"/>
    <x v="65"/>
    <x v="2"/>
    <x v="2"/>
  </r>
  <r>
    <x v="111"/>
    <x v="111"/>
    <x v="3"/>
    <x v="111"/>
    <x v="0"/>
    <n v="18.989999999999998"/>
    <x v="89"/>
    <x v="0"/>
    <x v="0"/>
  </r>
  <r>
    <x v="112"/>
    <x v="112"/>
    <x v="4"/>
    <x v="112"/>
    <x v="1"/>
    <n v="15"/>
    <x v="90"/>
    <x v="1"/>
    <x v="1"/>
  </r>
  <r>
    <x v="113"/>
    <x v="113"/>
    <x v="5"/>
    <x v="113"/>
    <x v="2"/>
    <n v="229.95"/>
    <x v="91"/>
    <x v="2"/>
    <x v="0"/>
  </r>
  <r>
    <x v="114"/>
    <x v="114"/>
    <x v="0"/>
    <x v="114"/>
    <x v="1"/>
    <n v="249.99"/>
    <x v="92"/>
    <x v="0"/>
    <x v="0"/>
  </r>
  <r>
    <x v="115"/>
    <x v="115"/>
    <x v="1"/>
    <x v="115"/>
    <x v="0"/>
    <n v="299.95"/>
    <x v="93"/>
    <x v="1"/>
    <x v="1"/>
  </r>
  <r>
    <x v="116"/>
    <x v="116"/>
    <x v="2"/>
    <x v="116"/>
    <x v="2"/>
    <n v="49.99"/>
    <x v="94"/>
    <x v="2"/>
    <x v="2"/>
  </r>
  <r>
    <x v="117"/>
    <x v="117"/>
    <x v="3"/>
    <x v="117"/>
    <x v="3"/>
    <n v="16.989999999999998"/>
    <x v="95"/>
    <x v="0"/>
    <x v="0"/>
  </r>
  <r>
    <x v="118"/>
    <x v="118"/>
    <x v="4"/>
    <x v="118"/>
    <x v="0"/>
    <n v="14.99"/>
    <x v="96"/>
    <x v="1"/>
    <x v="1"/>
  </r>
  <r>
    <x v="119"/>
    <x v="119"/>
    <x v="5"/>
    <x v="119"/>
    <x v="1"/>
    <n v="249.99"/>
    <x v="92"/>
    <x v="2"/>
    <x v="0"/>
  </r>
  <r>
    <x v="120"/>
    <x v="120"/>
    <x v="0"/>
    <x v="120"/>
    <x v="0"/>
    <n v="599.99"/>
    <x v="7"/>
    <x v="0"/>
    <x v="0"/>
  </r>
  <r>
    <x v="121"/>
    <x v="121"/>
    <x v="1"/>
    <x v="121"/>
    <x v="1"/>
    <n v="89.99"/>
    <x v="4"/>
    <x v="1"/>
    <x v="1"/>
  </r>
  <r>
    <x v="122"/>
    <x v="122"/>
    <x v="2"/>
    <x v="122"/>
    <x v="4"/>
    <n v="12.99"/>
    <x v="97"/>
    <x v="2"/>
    <x v="2"/>
  </r>
  <r>
    <x v="123"/>
    <x v="123"/>
    <x v="3"/>
    <x v="123"/>
    <x v="2"/>
    <n v="14.99"/>
    <x v="75"/>
    <x v="0"/>
    <x v="0"/>
  </r>
  <r>
    <x v="124"/>
    <x v="124"/>
    <x v="4"/>
    <x v="124"/>
    <x v="1"/>
    <n v="30"/>
    <x v="98"/>
    <x v="1"/>
    <x v="1"/>
  </r>
  <r>
    <x v="125"/>
    <x v="125"/>
    <x v="5"/>
    <x v="125"/>
    <x v="1"/>
    <n v="199.99"/>
    <x v="40"/>
    <x v="2"/>
    <x v="0"/>
  </r>
  <r>
    <x v="126"/>
    <x v="126"/>
    <x v="0"/>
    <x v="126"/>
    <x v="1"/>
    <n v="499.99"/>
    <x v="1"/>
    <x v="0"/>
    <x v="0"/>
  </r>
  <r>
    <x v="127"/>
    <x v="127"/>
    <x v="1"/>
    <x v="16"/>
    <x v="0"/>
    <n v="399.99"/>
    <x v="99"/>
    <x v="1"/>
    <x v="1"/>
  </r>
  <r>
    <x v="128"/>
    <x v="128"/>
    <x v="2"/>
    <x v="127"/>
    <x v="2"/>
    <n v="98"/>
    <x v="100"/>
    <x v="2"/>
    <x v="2"/>
  </r>
  <r>
    <x v="129"/>
    <x v="129"/>
    <x v="3"/>
    <x v="128"/>
    <x v="0"/>
    <n v="8.99"/>
    <x v="101"/>
    <x v="0"/>
    <x v="0"/>
  </r>
  <r>
    <x v="130"/>
    <x v="130"/>
    <x v="4"/>
    <x v="129"/>
    <x v="1"/>
    <n v="36"/>
    <x v="102"/>
    <x v="1"/>
    <x v="1"/>
  </r>
  <r>
    <x v="131"/>
    <x v="131"/>
    <x v="5"/>
    <x v="130"/>
    <x v="3"/>
    <n v="39.950000000000003"/>
    <x v="103"/>
    <x v="2"/>
    <x v="0"/>
  </r>
  <r>
    <x v="132"/>
    <x v="132"/>
    <x v="0"/>
    <x v="131"/>
    <x v="1"/>
    <n v="1299.99"/>
    <x v="104"/>
    <x v="0"/>
    <x v="0"/>
  </r>
  <r>
    <x v="133"/>
    <x v="133"/>
    <x v="1"/>
    <x v="132"/>
    <x v="0"/>
    <n v="79.989999999999995"/>
    <x v="105"/>
    <x v="1"/>
    <x v="1"/>
  </r>
  <r>
    <x v="134"/>
    <x v="134"/>
    <x v="2"/>
    <x v="133"/>
    <x v="3"/>
    <n v="34.99"/>
    <x v="106"/>
    <x v="2"/>
    <x v="2"/>
  </r>
  <r>
    <x v="135"/>
    <x v="135"/>
    <x v="3"/>
    <x v="134"/>
    <x v="2"/>
    <n v="9.99"/>
    <x v="107"/>
    <x v="0"/>
    <x v="0"/>
  </r>
  <r>
    <x v="136"/>
    <x v="136"/>
    <x v="4"/>
    <x v="135"/>
    <x v="1"/>
    <n v="6.8"/>
    <x v="108"/>
    <x v="1"/>
    <x v="1"/>
  </r>
  <r>
    <x v="137"/>
    <x v="137"/>
    <x v="5"/>
    <x v="136"/>
    <x v="0"/>
    <n v="99.95"/>
    <x v="109"/>
    <x v="2"/>
    <x v="0"/>
  </r>
  <r>
    <x v="138"/>
    <x v="138"/>
    <x v="0"/>
    <x v="137"/>
    <x v="1"/>
    <n v="1499.99"/>
    <x v="110"/>
    <x v="0"/>
    <x v="0"/>
  </r>
  <r>
    <x v="139"/>
    <x v="139"/>
    <x v="1"/>
    <x v="138"/>
    <x v="1"/>
    <n v="139.99"/>
    <x v="111"/>
    <x v="1"/>
    <x v="1"/>
  </r>
  <r>
    <x v="140"/>
    <x v="140"/>
    <x v="2"/>
    <x v="139"/>
    <x v="2"/>
    <n v="44.99"/>
    <x v="112"/>
    <x v="2"/>
    <x v="2"/>
  </r>
  <r>
    <x v="141"/>
    <x v="141"/>
    <x v="3"/>
    <x v="140"/>
    <x v="0"/>
    <n v="11.99"/>
    <x v="113"/>
    <x v="0"/>
    <x v="0"/>
  </r>
  <r>
    <x v="142"/>
    <x v="142"/>
    <x v="4"/>
    <x v="141"/>
    <x v="1"/>
    <n v="29.5"/>
    <x v="114"/>
    <x v="1"/>
    <x v="1"/>
  </r>
  <r>
    <x v="143"/>
    <x v="143"/>
    <x v="5"/>
    <x v="142"/>
    <x v="1"/>
    <n v="299.99"/>
    <x v="24"/>
    <x v="2"/>
    <x v="0"/>
  </r>
  <r>
    <x v="144"/>
    <x v="144"/>
    <x v="0"/>
    <x v="143"/>
    <x v="1"/>
    <n v="549"/>
    <x v="115"/>
    <x v="0"/>
    <x v="0"/>
  </r>
  <r>
    <x v="145"/>
    <x v="145"/>
    <x v="1"/>
    <x v="144"/>
    <x v="0"/>
    <n v="199.95"/>
    <x v="116"/>
    <x v="1"/>
    <x v="1"/>
  </r>
  <r>
    <x v="146"/>
    <x v="146"/>
    <x v="2"/>
    <x v="145"/>
    <x v="0"/>
    <n v="98"/>
    <x v="117"/>
    <x v="2"/>
    <x v="2"/>
  </r>
  <r>
    <x v="147"/>
    <x v="147"/>
    <x v="3"/>
    <x v="146"/>
    <x v="2"/>
    <n v="10.99"/>
    <x v="118"/>
    <x v="0"/>
    <x v="0"/>
  </r>
  <r>
    <x v="148"/>
    <x v="148"/>
    <x v="4"/>
    <x v="147"/>
    <x v="1"/>
    <n v="25"/>
    <x v="119"/>
    <x v="1"/>
    <x v="1"/>
  </r>
  <r>
    <x v="149"/>
    <x v="149"/>
    <x v="5"/>
    <x v="148"/>
    <x v="0"/>
    <n v="149.99"/>
    <x v="120"/>
    <x v="2"/>
    <x v="0"/>
  </r>
  <r>
    <x v="150"/>
    <x v="150"/>
    <x v="0"/>
    <x v="30"/>
    <x v="1"/>
    <n v="349.99"/>
    <x v="78"/>
    <x v="0"/>
    <x v="0"/>
  </r>
  <r>
    <x v="151"/>
    <x v="151"/>
    <x v="1"/>
    <x v="149"/>
    <x v="0"/>
    <n v="199.99"/>
    <x v="53"/>
    <x v="1"/>
    <x v="1"/>
  </r>
  <r>
    <x v="152"/>
    <x v="152"/>
    <x v="2"/>
    <x v="150"/>
    <x v="2"/>
    <n v="54.99"/>
    <x v="121"/>
    <x v="2"/>
    <x v="2"/>
  </r>
  <r>
    <x v="153"/>
    <x v="153"/>
    <x v="3"/>
    <x v="151"/>
    <x v="0"/>
    <n v="16.989999999999998"/>
    <x v="122"/>
    <x v="0"/>
    <x v="0"/>
  </r>
  <r>
    <x v="154"/>
    <x v="154"/>
    <x v="4"/>
    <x v="152"/>
    <x v="1"/>
    <n v="59"/>
    <x v="123"/>
    <x v="1"/>
    <x v="1"/>
  </r>
  <r>
    <x v="155"/>
    <x v="155"/>
    <x v="5"/>
    <x v="153"/>
    <x v="1"/>
    <n v="299.99"/>
    <x v="24"/>
    <x v="2"/>
    <x v="0"/>
  </r>
  <r>
    <x v="156"/>
    <x v="156"/>
    <x v="0"/>
    <x v="154"/>
    <x v="1"/>
    <n v="899.99"/>
    <x v="64"/>
    <x v="0"/>
    <x v="0"/>
  </r>
  <r>
    <x v="157"/>
    <x v="157"/>
    <x v="1"/>
    <x v="155"/>
    <x v="1"/>
    <n v="499.95"/>
    <x v="124"/>
    <x v="1"/>
    <x v="1"/>
  </r>
  <r>
    <x v="158"/>
    <x v="158"/>
    <x v="2"/>
    <x v="156"/>
    <x v="3"/>
    <n v="24.99"/>
    <x v="125"/>
    <x v="2"/>
    <x v="2"/>
  </r>
  <r>
    <x v="159"/>
    <x v="159"/>
    <x v="3"/>
    <x v="157"/>
    <x v="2"/>
    <n v="7.99"/>
    <x v="126"/>
    <x v="0"/>
    <x v="0"/>
  </r>
  <r>
    <x v="160"/>
    <x v="160"/>
    <x v="4"/>
    <x v="158"/>
    <x v="1"/>
    <n v="36"/>
    <x v="102"/>
    <x v="1"/>
    <x v="1"/>
  </r>
  <r>
    <x v="161"/>
    <x v="161"/>
    <x v="5"/>
    <x v="159"/>
    <x v="0"/>
    <n v="34.99"/>
    <x v="127"/>
    <x v="2"/>
    <x v="0"/>
  </r>
  <r>
    <x v="162"/>
    <x v="162"/>
    <x v="0"/>
    <x v="160"/>
    <x v="1"/>
    <n v="1199.99"/>
    <x v="58"/>
    <x v="0"/>
    <x v="0"/>
  </r>
  <r>
    <x v="163"/>
    <x v="163"/>
    <x v="1"/>
    <x v="161"/>
    <x v="1"/>
    <n v="199.99"/>
    <x v="40"/>
    <x v="1"/>
    <x v="1"/>
  </r>
  <r>
    <x v="164"/>
    <x v="164"/>
    <x v="2"/>
    <x v="162"/>
    <x v="4"/>
    <n v="29.99"/>
    <x v="5"/>
    <x v="2"/>
    <x v="2"/>
  </r>
  <r>
    <x v="165"/>
    <x v="165"/>
    <x v="3"/>
    <x v="163"/>
    <x v="3"/>
    <n v="8.99"/>
    <x v="128"/>
    <x v="0"/>
    <x v="0"/>
  </r>
  <r>
    <x v="166"/>
    <x v="166"/>
    <x v="4"/>
    <x v="164"/>
    <x v="1"/>
    <n v="16.989999999999998"/>
    <x v="129"/>
    <x v="1"/>
    <x v="1"/>
  </r>
  <r>
    <x v="167"/>
    <x v="167"/>
    <x v="5"/>
    <x v="165"/>
    <x v="2"/>
    <n v="49.99"/>
    <x v="94"/>
    <x v="2"/>
    <x v="0"/>
  </r>
  <r>
    <x v="168"/>
    <x v="168"/>
    <x v="0"/>
    <x v="166"/>
    <x v="1"/>
    <n v="699.99"/>
    <x v="130"/>
    <x v="0"/>
    <x v="0"/>
  </r>
  <r>
    <x v="169"/>
    <x v="169"/>
    <x v="1"/>
    <x v="167"/>
    <x v="0"/>
    <n v="139.99"/>
    <x v="41"/>
    <x v="1"/>
    <x v="1"/>
  </r>
  <r>
    <x v="170"/>
    <x v="170"/>
    <x v="2"/>
    <x v="168"/>
    <x v="2"/>
    <n v="34.99"/>
    <x v="131"/>
    <x v="2"/>
    <x v="2"/>
  </r>
  <r>
    <x v="171"/>
    <x v="171"/>
    <x v="3"/>
    <x v="169"/>
    <x v="0"/>
    <n v="9.99"/>
    <x v="132"/>
    <x v="0"/>
    <x v="0"/>
  </r>
  <r>
    <x v="172"/>
    <x v="172"/>
    <x v="4"/>
    <x v="170"/>
    <x v="1"/>
    <n v="29.5"/>
    <x v="114"/>
    <x v="1"/>
    <x v="1"/>
  </r>
  <r>
    <x v="173"/>
    <x v="173"/>
    <x v="5"/>
    <x v="171"/>
    <x v="1"/>
    <n v="699.99"/>
    <x v="130"/>
    <x v="2"/>
    <x v="0"/>
  </r>
  <r>
    <x v="174"/>
    <x v="174"/>
    <x v="0"/>
    <x v="172"/>
    <x v="2"/>
    <n v="49.99"/>
    <x v="94"/>
    <x v="0"/>
    <x v="0"/>
  </r>
  <r>
    <x v="175"/>
    <x v="175"/>
    <x v="1"/>
    <x v="173"/>
    <x v="0"/>
    <n v="49.99"/>
    <x v="133"/>
    <x v="1"/>
    <x v="1"/>
  </r>
  <r>
    <x v="176"/>
    <x v="176"/>
    <x v="2"/>
    <x v="174"/>
    <x v="3"/>
    <n v="14.9"/>
    <x v="134"/>
    <x v="2"/>
    <x v="2"/>
  </r>
  <r>
    <x v="177"/>
    <x v="177"/>
    <x v="3"/>
    <x v="175"/>
    <x v="2"/>
    <n v="11.99"/>
    <x v="135"/>
    <x v="0"/>
    <x v="0"/>
  </r>
  <r>
    <x v="178"/>
    <x v="178"/>
    <x v="4"/>
    <x v="176"/>
    <x v="0"/>
    <n v="34"/>
    <x v="76"/>
    <x v="1"/>
    <x v="1"/>
  </r>
  <r>
    <x v="179"/>
    <x v="179"/>
    <x v="5"/>
    <x v="177"/>
    <x v="1"/>
    <n v="146"/>
    <x v="136"/>
    <x v="2"/>
    <x v="0"/>
  </r>
  <r>
    <x v="180"/>
    <x v="180"/>
    <x v="0"/>
    <x v="178"/>
    <x v="1"/>
    <n v="649.99"/>
    <x v="137"/>
    <x v="0"/>
    <x v="0"/>
  </r>
  <r>
    <x v="181"/>
    <x v="181"/>
    <x v="1"/>
    <x v="179"/>
    <x v="1"/>
    <n v="399.99"/>
    <x v="16"/>
    <x v="1"/>
    <x v="1"/>
  </r>
  <r>
    <x v="182"/>
    <x v="182"/>
    <x v="2"/>
    <x v="180"/>
    <x v="2"/>
    <n v="59.99"/>
    <x v="20"/>
    <x v="2"/>
    <x v="2"/>
  </r>
  <r>
    <x v="183"/>
    <x v="183"/>
    <x v="3"/>
    <x v="181"/>
    <x v="0"/>
    <n v="12.99"/>
    <x v="80"/>
    <x v="0"/>
    <x v="0"/>
  </r>
  <r>
    <x v="184"/>
    <x v="184"/>
    <x v="4"/>
    <x v="182"/>
    <x v="1"/>
    <n v="190"/>
    <x v="138"/>
    <x v="1"/>
    <x v="1"/>
  </r>
  <r>
    <x v="185"/>
    <x v="185"/>
    <x v="5"/>
    <x v="183"/>
    <x v="1"/>
    <n v="499.95"/>
    <x v="124"/>
    <x v="2"/>
    <x v="0"/>
  </r>
  <r>
    <x v="186"/>
    <x v="186"/>
    <x v="0"/>
    <x v="184"/>
    <x v="1"/>
    <n v="399"/>
    <x v="139"/>
    <x v="0"/>
    <x v="0"/>
  </r>
  <r>
    <x v="187"/>
    <x v="187"/>
    <x v="1"/>
    <x v="185"/>
    <x v="0"/>
    <n v="199"/>
    <x v="140"/>
    <x v="1"/>
    <x v="1"/>
  </r>
  <r>
    <x v="188"/>
    <x v="188"/>
    <x v="2"/>
    <x v="186"/>
    <x v="3"/>
    <n v="34.99"/>
    <x v="106"/>
    <x v="2"/>
    <x v="2"/>
  </r>
  <r>
    <x v="189"/>
    <x v="189"/>
    <x v="3"/>
    <x v="87"/>
    <x v="2"/>
    <n v="10.99"/>
    <x v="118"/>
    <x v="0"/>
    <x v="0"/>
  </r>
  <r>
    <x v="190"/>
    <x v="190"/>
    <x v="4"/>
    <x v="187"/>
    <x v="1"/>
    <n v="18"/>
    <x v="141"/>
    <x v="1"/>
    <x v="1"/>
  </r>
  <r>
    <x v="191"/>
    <x v="191"/>
    <x v="5"/>
    <x v="188"/>
    <x v="1"/>
    <n v="169.95"/>
    <x v="142"/>
    <x v="2"/>
    <x v="0"/>
  </r>
  <r>
    <x v="192"/>
    <x v="192"/>
    <x v="0"/>
    <x v="189"/>
    <x v="1"/>
    <n v="199.99"/>
    <x v="40"/>
    <x v="0"/>
    <x v="0"/>
  </r>
  <r>
    <x v="193"/>
    <x v="193"/>
    <x v="1"/>
    <x v="190"/>
    <x v="1"/>
    <n v="199.95"/>
    <x v="143"/>
    <x v="1"/>
    <x v="1"/>
  </r>
  <r>
    <x v="194"/>
    <x v="194"/>
    <x v="2"/>
    <x v="191"/>
    <x v="0"/>
    <n v="179.99"/>
    <x v="26"/>
    <x v="2"/>
    <x v="2"/>
  </r>
  <r>
    <x v="195"/>
    <x v="195"/>
    <x v="3"/>
    <x v="192"/>
    <x v="0"/>
    <n v="11.99"/>
    <x v="113"/>
    <x v="0"/>
    <x v="0"/>
  </r>
  <r>
    <x v="196"/>
    <x v="196"/>
    <x v="4"/>
    <x v="193"/>
    <x v="1"/>
    <n v="125"/>
    <x v="144"/>
    <x v="1"/>
    <x v="1"/>
  </r>
  <r>
    <x v="197"/>
    <x v="197"/>
    <x v="5"/>
    <x v="194"/>
    <x v="1"/>
    <n v="449.99"/>
    <x v="145"/>
    <x v="2"/>
    <x v="0"/>
  </r>
  <r>
    <x v="198"/>
    <x v="198"/>
    <x v="0"/>
    <x v="195"/>
    <x v="0"/>
    <n v="179"/>
    <x v="146"/>
    <x v="0"/>
    <x v="0"/>
  </r>
  <r>
    <x v="199"/>
    <x v="199"/>
    <x v="1"/>
    <x v="196"/>
    <x v="1"/>
    <n v="99.95"/>
    <x v="147"/>
    <x v="1"/>
    <x v="1"/>
  </r>
  <r>
    <x v="200"/>
    <x v="200"/>
    <x v="2"/>
    <x v="197"/>
    <x v="2"/>
    <n v="59.99"/>
    <x v="20"/>
    <x v="2"/>
    <x v="2"/>
  </r>
  <r>
    <x v="201"/>
    <x v="201"/>
    <x v="3"/>
    <x v="198"/>
    <x v="0"/>
    <n v="14.99"/>
    <x v="96"/>
    <x v="0"/>
    <x v="0"/>
  </r>
  <r>
    <x v="202"/>
    <x v="202"/>
    <x v="4"/>
    <x v="199"/>
    <x v="1"/>
    <n v="52"/>
    <x v="43"/>
    <x v="1"/>
    <x v="1"/>
  </r>
  <r>
    <x v="203"/>
    <x v="203"/>
    <x v="5"/>
    <x v="200"/>
    <x v="1"/>
    <n v="399.99"/>
    <x v="16"/>
    <x v="2"/>
    <x v="0"/>
  </r>
  <r>
    <x v="204"/>
    <x v="204"/>
    <x v="0"/>
    <x v="201"/>
    <x v="1"/>
    <n v="299.99"/>
    <x v="24"/>
    <x v="0"/>
    <x v="0"/>
  </r>
  <r>
    <x v="205"/>
    <x v="205"/>
    <x v="1"/>
    <x v="202"/>
    <x v="1"/>
    <n v="379.99"/>
    <x v="148"/>
    <x v="1"/>
    <x v="1"/>
  </r>
  <r>
    <x v="206"/>
    <x v="206"/>
    <x v="2"/>
    <x v="203"/>
    <x v="0"/>
    <n v="98"/>
    <x v="117"/>
    <x v="2"/>
    <x v="2"/>
  </r>
  <r>
    <x v="207"/>
    <x v="207"/>
    <x v="3"/>
    <x v="204"/>
    <x v="2"/>
    <n v="16.989999999999998"/>
    <x v="149"/>
    <x v="0"/>
    <x v="0"/>
  </r>
  <r>
    <x v="208"/>
    <x v="208"/>
    <x v="4"/>
    <x v="205"/>
    <x v="1"/>
    <n v="79"/>
    <x v="150"/>
    <x v="1"/>
    <x v="1"/>
  </r>
  <r>
    <x v="209"/>
    <x v="209"/>
    <x v="5"/>
    <x v="206"/>
    <x v="1"/>
    <n v="129"/>
    <x v="151"/>
    <x v="2"/>
    <x v="0"/>
  </r>
  <r>
    <x v="210"/>
    <x v="210"/>
    <x v="0"/>
    <x v="207"/>
    <x v="1"/>
    <n v="749.99"/>
    <x v="152"/>
    <x v="0"/>
    <x v="0"/>
  </r>
  <r>
    <x v="211"/>
    <x v="211"/>
    <x v="1"/>
    <x v="13"/>
    <x v="0"/>
    <n v="169.99"/>
    <x v="153"/>
    <x v="1"/>
    <x v="1"/>
  </r>
  <r>
    <x v="212"/>
    <x v="212"/>
    <x v="2"/>
    <x v="208"/>
    <x v="3"/>
    <n v="9.9"/>
    <x v="154"/>
    <x v="2"/>
    <x v="2"/>
  </r>
  <r>
    <x v="213"/>
    <x v="213"/>
    <x v="3"/>
    <x v="169"/>
    <x v="2"/>
    <n v="10.99"/>
    <x v="118"/>
    <x v="0"/>
    <x v="0"/>
  </r>
  <r>
    <x v="214"/>
    <x v="214"/>
    <x v="4"/>
    <x v="209"/>
    <x v="0"/>
    <n v="29"/>
    <x v="155"/>
    <x v="1"/>
    <x v="1"/>
  </r>
  <r>
    <x v="215"/>
    <x v="215"/>
    <x v="5"/>
    <x v="210"/>
    <x v="1"/>
    <n v="349.99"/>
    <x v="78"/>
    <x v="2"/>
    <x v="0"/>
  </r>
  <r>
    <x v="216"/>
    <x v="216"/>
    <x v="0"/>
    <x v="211"/>
    <x v="1"/>
    <n v="2399"/>
    <x v="156"/>
    <x v="0"/>
    <x v="0"/>
  </r>
  <r>
    <x v="217"/>
    <x v="217"/>
    <x v="1"/>
    <x v="212"/>
    <x v="1"/>
    <n v="449.99"/>
    <x v="145"/>
    <x v="1"/>
    <x v="1"/>
  </r>
  <r>
    <x v="218"/>
    <x v="218"/>
    <x v="2"/>
    <x v="213"/>
    <x v="2"/>
    <n v="49.99"/>
    <x v="94"/>
    <x v="2"/>
    <x v="2"/>
  </r>
  <r>
    <x v="219"/>
    <x v="219"/>
    <x v="3"/>
    <x v="214"/>
    <x v="0"/>
    <n v="12.99"/>
    <x v="80"/>
    <x v="0"/>
    <x v="0"/>
  </r>
  <r>
    <x v="220"/>
    <x v="220"/>
    <x v="4"/>
    <x v="215"/>
    <x v="1"/>
    <n v="27"/>
    <x v="157"/>
    <x v="1"/>
    <x v="1"/>
  </r>
  <r>
    <x v="221"/>
    <x v="221"/>
    <x v="5"/>
    <x v="18"/>
    <x v="1"/>
    <n v="599.99"/>
    <x v="158"/>
    <x v="2"/>
    <x v="0"/>
  </r>
  <r>
    <x v="222"/>
    <x v="222"/>
    <x v="0"/>
    <x v="216"/>
    <x v="3"/>
    <n v="49.99"/>
    <x v="159"/>
    <x v="0"/>
    <x v="0"/>
  </r>
  <r>
    <x v="223"/>
    <x v="223"/>
    <x v="1"/>
    <x v="217"/>
    <x v="0"/>
    <n v="229.99"/>
    <x v="87"/>
    <x v="1"/>
    <x v="1"/>
  </r>
  <r>
    <x v="224"/>
    <x v="224"/>
    <x v="2"/>
    <x v="218"/>
    <x v="0"/>
    <n v="44.99"/>
    <x v="160"/>
    <x v="2"/>
    <x v="2"/>
  </r>
  <r>
    <x v="225"/>
    <x v="225"/>
    <x v="3"/>
    <x v="51"/>
    <x v="2"/>
    <n v="26.99"/>
    <x v="161"/>
    <x v="0"/>
    <x v="0"/>
  </r>
  <r>
    <x v="226"/>
    <x v="226"/>
    <x v="4"/>
    <x v="219"/>
    <x v="1"/>
    <n v="6.7"/>
    <x v="162"/>
    <x v="1"/>
    <x v="1"/>
  </r>
  <r>
    <x v="227"/>
    <x v="227"/>
    <x v="5"/>
    <x v="220"/>
    <x v="0"/>
    <n v="149.94999999999999"/>
    <x v="163"/>
    <x v="2"/>
    <x v="0"/>
  </r>
  <r>
    <x v="228"/>
    <x v="228"/>
    <x v="0"/>
    <x v="221"/>
    <x v="1"/>
    <n v="169"/>
    <x v="164"/>
    <x v="0"/>
    <x v="0"/>
  </r>
  <r>
    <x v="229"/>
    <x v="229"/>
    <x v="1"/>
    <x v="222"/>
    <x v="1"/>
    <n v="599"/>
    <x v="165"/>
    <x v="1"/>
    <x v="1"/>
  </r>
  <r>
    <x v="230"/>
    <x v="230"/>
    <x v="2"/>
    <x v="223"/>
    <x v="3"/>
    <n v="64.989999999999995"/>
    <x v="166"/>
    <x v="2"/>
    <x v="2"/>
  </r>
  <r>
    <x v="231"/>
    <x v="231"/>
    <x v="3"/>
    <x v="9"/>
    <x v="0"/>
    <n v="9.99"/>
    <x v="132"/>
    <x v="0"/>
    <x v="0"/>
  </r>
  <r>
    <x v="232"/>
    <x v="232"/>
    <x v="4"/>
    <x v="224"/>
    <x v="1"/>
    <n v="24"/>
    <x v="167"/>
    <x v="1"/>
    <x v="1"/>
  </r>
  <r>
    <x v="233"/>
    <x v="233"/>
    <x v="5"/>
    <x v="225"/>
    <x v="2"/>
    <n v="32.950000000000003"/>
    <x v="168"/>
    <x v="2"/>
    <x v="0"/>
  </r>
  <r>
    <x v="234"/>
    <x v="234"/>
    <x v="0"/>
    <x v="226"/>
    <x v="1"/>
    <n v="299"/>
    <x v="169"/>
    <x v="0"/>
    <x v="0"/>
  </r>
  <r>
    <x v="235"/>
    <x v="235"/>
    <x v="1"/>
    <x v="227"/>
    <x v="1"/>
    <n v="159.99"/>
    <x v="88"/>
    <x v="1"/>
    <x v="1"/>
  </r>
  <r>
    <x v="236"/>
    <x v="236"/>
    <x v="2"/>
    <x v="228"/>
    <x v="2"/>
    <n v="90"/>
    <x v="170"/>
    <x v="2"/>
    <x v="2"/>
  </r>
  <r>
    <x v="237"/>
    <x v="237"/>
    <x v="3"/>
    <x v="229"/>
    <x v="2"/>
    <n v="10.99"/>
    <x v="118"/>
    <x v="0"/>
    <x v="0"/>
  </r>
  <r>
    <x v="238"/>
    <x v="238"/>
    <x v="4"/>
    <x v="230"/>
    <x v="1"/>
    <n v="55"/>
    <x v="171"/>
    <x v="1"/>
    <x v="1"/>
  </r>
  <r>
    <x v="239"/>
    <x v="239"/>
    <x v="5"/>
    <x v="231"/>
    <x v="0"/>
    <n v="29.99"/>
    <x v="17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5BB33-A49E-4988-B138-2697AA77B7E2}" name="PivotTable1" cacheId="43"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7">
  <location ref="A86:C90" firstHeaderRow="0" firstDataRow="1" firstDataCol="1"/>
  <pivotFields count="11">
    <pivotField dataField="1" compact="0" numFmtId="1"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compact="0"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compact="0" showAll="0">
      <items count="7">
        <item x="4"/>
        <item x="3"/>
        <item x="2"/>
        <item x="0"/>
        <item x="1"/>
        <item x="5"/>
        <item t="default"/>
      </items>
    </pivotField>
    <pivotField compact="0"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dataField="1" compact="0" numFmtId="1" showAll="0">
      <items count="8">
        <item x="1"/>
        <item x="0"/>
        <item x="2"/>
        <item x="3"/>
        <item x="4"/>
        <item x="5"/>
        <item x="6"/>
        <item t="default"/>
      </items>
    </pivotField>
    <pivotField compact="0" numFmtId="2" showAll="0"/>
    <pivotField compact="0" numFmtId="2" showAll="0"/>
    <pivotField axis="axisRow" compact="0" showAll="0">
      <items count="4">
        <item x="2"/>
        <item x="1"/>
        <item x="0"/>
        <item t="default"/>
      </items>
    </pivotField>
    <pivotField compact="0" showAll="0">
      <items count="4">
        <item x="0"/>
        <item x="2"/>
        <item x="1"/>
        <item t="default"/>
      </items>
    </pivotField>
    <pivotField compact="0" showAll="0" defaultSubtotal="0"/>
    <pivotField compact="0"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Fields count="1">
    <field x="-2"/>
  </colFields>
  <colItems count="2">
    <i>
      <x/>
    </i>
    <i i="1">
      <x v="1"/>
    </i>
  </colItems>
  <dataFields count="2">
    <dataField name="Sum of Units Sold" fld="4" baseField="0" baseItem="0" numFmtId="1"/>
    <dataField name="Count of Transaction 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A9BFA-B227-495E-A186-5EC2B241C1E6}" name="pm vs tr pvt" cacheId="43"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6">
  <location ref="A35:B39" firstHeaderRow="1" firstDataRow="1" firstDataCol="1"/>
  <pivotFields count="11">
    <pivotField compact="0" numFmtId="1" showAll="0"/>
    <pivotField compact="0"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compact="0" showAll="0">
      <items count="7">
        <item x="4"/>
        <item x="3"/>
        <item x="2"/>
        <item x="0"/>
        <item x="1"/>
        <item x="5"/>
        <item t="default"/>
      </items>
    </pivotField>
    <pivotField compact="0" showAll="0"/>
    <pivotField compact="0" numFmtId="1" showAll="0"/>
    <pivotField compact="0" numFmtId="2" showAll="0"/>
    <pivotField dataField="1" compact="0" numFmtId="2" showAll="0"/>
    <pivotField compact="0" showAll="0">
      <items count="4">
        <item x="2"/>
        <item x="1"/>
        <item x="0"/>
        <item t="default"/>
      </items>
    </pivotField>
    <pivotField axis="axisRow" compact="0" showAll="0">
      <items count="4">
        <item x="0"/>
        <item x="2"/>
        <item x="1"/>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Total Revenue" fld="6" baseField="0" baseItem="0" numFmtId="2"/>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8" count="1" selected="0">
            <x v="0"/>
          </reference>
        </references>
      </pivotArea>
    </chartFormat>
    <chartFormat chart="7" format="2">
      <pivotArea type="data" outline="0" fieldPosition="0">
        <references count="2">
          <reference field="4294967294" count="1" selected="0">
            <x v="0"/>
          </reference>
          <reference field="8" count="1" selected="0">
            <x v="1"/>
          </reference>
        </references>
      </pivotArea>
    </chartFormat>
    <chartFormat chart="7" format="3">
      <pivotArea type="data" outline="0" fieldPosition="0">
        <references count="2">
          <reference field="4294967294" count="1" selected="0">
            <x v="0"/>
          </reference>
          <reference field="8"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8" count="1" selected="0">
            <x v="0"/>
          </reference>
        </references>
      </pivotArea>
    </chartFormat>
    <chartFormat chart="15" format="10">
      <pivotArea type="data" outline="0" fieldPosition="0">
        <references count="2">
          <reference field="4294967294" count="1" selected="0">
            <x v="0"/>
          </reference>
          <reference field="8" count="1" selected="0">
            <x v="1"/>
          </reference>
        </references>
      </pivotArea>
    </chartFormat>
    <chartFormat chart="15"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EF2AC-678D-4074-9BD5-4F697BB0BC4E}" name="Rgn vs tr pvt" cacheId="43"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9">
  <location ref="A18:B22" firstHeaderRow="1" firstDataRow="1" firstDataCol="1"/>
  <pivotFields count="11">
    <pivotField compact="0" numFmtId="1" showAll="0"/>
    <pivotField compact="0"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compact="0" showAll="0">
      <items count="7">
        <item x="4"/>
        <item x="3"/>
        <item x="2"/>
        <item x="0"/>
        <item x="1"/>
        <item x="5"/>
        <item t="default"/>
      </items>
    </pivotField>
    <pivotField compact="0" showAll="0"/>
    <pivotField compact="0" numFmtId="1" showAll="0"/>
    <pivotField compact="0" numFmtId="2" showAll="0"/>
    <pivotField dataField="1" compact="0" numFmtId="2" showAll="0"/>
    <pivotField axis="axisRow" compact="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showAll="0">
      <items count="4">
        <item x="0"/>
        <item x="2"/>
        <item x="1"/>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7"/>
  </rowFields>
  <rowItems count="4">
    <i>
      <x v="2"/>
    </i>
    <i>
      <x/>
    </i>
    <i>
      <x v="1"/>
    </i>
    <i t="grand">
      <x/>
    </i>
  </rowItems>
  <colItems count="1">
    <i/>
  </colItems>
  <dataFields count="1">
    <dataField name="Sum of Total Revenue" fld="6" baseField="0" baseItem="0" numFmtId="2"/>
  </dataField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 chart="6" format="7">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F59466-AEF8-4DF8-B184-30804EAF83CC}" name="pc vs tr pvt" cacheId="43"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39">
  <location ref="A1:B8" firstHeaderRow="1" firstDataRow="1" firstDataCol="1"/>
  <pivotFields count="11">
    <pivotField compact="0" numFmtId="1" showAll="0"/>
    <pivotField compact="0"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compact="0" showAll="0" sortType="descending">
      <items count="7">
        <item x="4"/>
        <item x="3"/>
        <item x="2"/>
        <item x="0"/>
        <item x="1"/>
        <item x="5"/>
        <item t="default"/>
      </items>
      <autoSortScope>
        <pivotArea dataOnly="0" outline="0" fieldPosition="0">
          <references count="1">
            <reference field="4294967294" count="1" selected="0">
              <x v="0"/>
            </reference>
          </references>
        </pivotArea>
      </autoSortScope>
    </pivotField>
    <pivotField compact="0" showAll="0"/>
    <pivotField compact="0" numFmtId="1" showAll="0"/>
    <pivotField compact="0" numFmtId="2" showAll="0"/>
    <pivotField dataField="1" compact="0" numFmtId="2"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t="default"/>
      </items>
    </pivotField>
    <pivotField compact="0" showAll="0">
      <items count="4">
        <item x="2"/>
        <item x="1"/>
        <item x="0"/>
        <item t="default"/>
      </items>
    </pivotField>
    <pivotField compact="0" showAll="0">
      <items count="4">
        <item x="0"/>
        <item x="2"/>
        <item x="1"/>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2"/>
  </rowFields>
  <rowItems count="7">
    <i>
      <x v="3"/>
    </i>
    <i>
      <x v="4"/>
    </i>
    <i>
      <x v="5"/>
    </i>
    <i>
      <x v="2"/>
    </i>
    <i>
      <x/>
    </i>
    <i>
      <x v="1"/>
    </i>
    <i t="grand">
      <x/>
    </i>
  </rowItems>
  <colItems count="1">
    <i/>
  </colItems>
  <dataFields count="1">
    <dataField name="Sum of Total Revenue" fld="6" baseField="0" baseItem="0" numFmtId="2"/>
  </dataFields>
  <chartFormats count="4">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6B1445-A112-41E4-B83B-7545F7FAF046}" name="PivotTable5" cacheId="43"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7">
  <location ref="A69:B80" firstHeaderRow="1" firstDataRow="1" firstDataCol="1"/>
  <pivotFields count="11">
    <pivotField compact="0" numFmtId="1" showAll="0"/>
    <pivotField compact="0"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compact="0" showAll="0">
      <items count="7">
        <item x="4"/>
        <item x="3"/>
        <item x="2"/>
        <item x="0"/>
        <item x="1"/>
        <item x="5"/>
        <item t="default"/>
      </items>
    </pivotField>
    <pivotField axis="axisRow" compact="0" showAll="0" measureFilter="1" sortType="descending">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autoSortScope>
        <pivotArea dataOnly="0" outline="0" fieldPosition="0">
          <references count="1">
            <reference field="4294967294" count="1" selected="0">
              <x v="0"/>
            </reference>
          </references>
        </pivotArea>
      </autoSortScope>
    </pivotField>
    <pivotField compact="0" numFmtId="1" showAll="0"/>
    <pivotField compact="0" numFmtId="2" showAll="0"/>
    <pivotField dataField="1" compact="0" numFmtId="2" showAll="0"/>
    <pivotField compact="0" showAll="0">
      <items count="4">
        <item x="2"/>
        <item x="1"/>
        <item x="0"/>
        <item t="default"/>
      </items>
    </pivotField>
    <pivotField compact="0" showAll="0">
      <items count="4">
        <item x="0"/>
        <item x="2"/>
        <item x="1"/>
        <item t="default"/>
      </items>
    </pivotField>
    <pivotField compact="0" showAll="0" defaultSubtotal="0"/>
    <pivotField compact="0" showAll="0" defaultSubtotal="0">
      <items count="14">
        <item x="0"/>
        <item x="1"/>
        <item x="2"/>
        <item x="3"/>
        <item x="4"/>
        <item x="5"/>
        <item x="6"/>
        <item x="7"/>
        <item x="8"/>
        <item x="9"/>
        <item x="10"/>
        <item x="11"/>
        <item x="12"/>
        <item x="13"/>
      </items>
    </pivotField>
  </pivotFields>
  <rowFields count="1">
    <field x="3"/>
  </rowFields>
  <rowItems count="11">
    <i>
      <x v="39"/>
    </i>
    <i>
      <x v="118"/>
    </i>
    <i>
      <x v="126"/>
    </i>
    <i>
      <x v="19"/>
    </i>
    <i>
      <x v="103"/>
    </i>
    <i>
      <x v="153"/>
    </i>
    <i>
      <x v="94"/>
    </i>
    <i>
      <x v="162"/>
    </i>
    <i>
      <x v="79"/>
    </i>
    <i>
      <x v="167"/>
    </i>
    <i t="grand">
      <x/>
    </i>
  </rowItems>
  <colItems count="1">
    <i/>
  </colItems>
  <dataFields count="1">
    <dataField name="Sum of Total Revenue" fld="6"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BD7A6B-149C-4E4C-9344-2B0AB1921CE2}" name=" Month vs tr pvt" cacheId="43"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8">
  <location ref="A52:B61" firstHeaderRow="1" firstDataRow="1" firstDataCol="1"/>
  <pivotFields count="11">
    <pivotField compact="0" numFmtId="1" showAll="0"/>
    <pivotField compact="0"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compact="0" showAll="0">
      <items count="7">
        <item x="4"/>
        <item x="3"/>
        <item x="2"/>
        <item x="0"/>
        <item x="1"/>
        <item x="5"/>
        <item t="default"/>
      </items>
    </pivotField>
    <pivotField compact="0" showAll="0"/>
    <pivotField compact="0" numFmtId="1" showAll="0"/>
    <pivotField compact="0" numFmtId="2" showAll="0"/>
    <pivotField dataField="1" compact="0" numFmtId="2" showAll="0"/>
    <pivotField compact="0" showAll="0">
      <items count="4">
        <item x="2"/>
        <item x="1"/>
        <item x="0"/>
        <item t="default"/>
      </items>
    </pivotField>
    <pivotField compact="0" showAll="0">
      <items count="4">
        <item x="0"/>
        <item x="2"/>
        <item x="1"/>
        <item t="default"/>
      </items>
    </pivotField>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9">
    <i>
      <x v="1"/>
    </i>
    <i>
      <x v="2"/>
    </i>
    <i>
      <x v="3"/>
    </i>
    <i>
      <x v="4"/>
    </i>
    <i>
      <x v="5"/>
    </i>
    <i>
      <x v="6"/>
    </i>
    <i>
      <x v="7"/>
    </i>
    <i>
      <x v="8"/>
    </i>
    <i t="grand">
      <x/>
    </i>
  </rowItems>
  <colItems count="1">
    <i/>
  </colItems>
  <dataFields count="1">
    <dataField name="Sum of Total Revenue" fld="6" baseField="0" baseItem="0" numFmtId="2"/>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460E5F4-7F91-4B92-9301-77FA0C4DBA27}" sourceName="Product Category">
  <pivotTables>
    <pivotTable tabId="4" name="pc vs tr pvt"/>
    <pivotTable tabId="4" name=" Month vs tr pvt"/>
    <pivotTable tabId="4" name="PivotTable1"/>
    <pivotTable tabId="4" name="PivotTable5"/>
    <pivotTable tabId="4" name="pm vs tr pvt"/>
    <pivotTable tabId="4" name="Rgn vs tr pvt"/>
  </pivotTables>
  <data>
    <tabular pivotCacheId="1685017396">
      <items count="6">
        <i x="4" s="1"/>
        <i x="3" s="1"/>
        <i x="2"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D16306-7FE9-4C88-8FC6-625A8D73DEF7}" sourceName="Region">
  <pivotTables>
    <pivotTable tabId="4" name="pc vs tr pvt"/>
    <pivotTable tabId="4" name=" Month vs tr pvt"/>
    <pivotTable tabId="4" name="PivotTable1"/>
    <pivotTable tabId="4" name="PivotTable5"/>
    <pivotTable tabId="4" name="pm vs tr pvt"/>
    <pivotTable tabId="4" name="Rgn vs tr pvt"/>
  </pivotTables>
  <data>
    <tabular pivotCacheId="168501739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754FC25-B16A-4A9E-8E3B-BCCA7C56D5BB}" sourceName="Payment Method">
  <pivotTables>
    <pivotTable tabId="4" name="pc vs tr pvt"/>
    <pivotTable tabId="4" name=" Month vs tr pvt"/>
    <pivotTable tabId="4" name="PivotTable1"/>
    <pivotTable tabId="4" name="PivotTable5"/>
    <pivotTable tabId="4" name="pm vs tr pvt"/>
    <pivotTable tabId="4" name="Rgn vs tr pvt"/>
  </pivotTables>
  <data>
    <tabular pivotCacheId="16850173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6FF8CD4-F783-49C5-B24A-8D3E8B62136D}" cache="Slicer_Product_Category" caption="Product Category" rowHeight="234950"/>
  <slicer name="Region" xr10:uid="{4BA63E44-2F47-4649-B20E-12109774B218}" cache="Slicer_Region" caption="Region" rowHeight="234950"/>
  <slicer name="Payment Method" xr10:uid="{0D356580-B5D1-4DDE-93C3-9CE947A58C35}" cache="Slicer_Payment_Method" caption="Payment 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A1F94F9F-467F-405A-B1CC-4FE8F5C4A9B6}" cache="Slicer_Product_Category" caption="Product Category" style="MY" rowHeight="360000"/>
  <slicer name="Region 1" xr10:uid="{A1394330-F317-4F87-ABC8-8BC51BF8BAEB}" cache="Slicer_Region" caption="Region" style="MY" rowHeight="396000"/>
  <slicer name="Payment Method 1" xr10:uid="{E135E212-BB55-4A47-A582-E43FF2A9572A}" cache="Slicer_Payment_Method" caption="Payment Method" style="MY"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3AA83D-24B0-4252-8B6D-C4D4EA910193}" name="Sales_Data" displayName="Sales_Data" ref="A1:I241" headerRowDxfId="33" dataDxfId="32">
  <autoFilter ref="A1:I241" xr:uid="{4AD5CC6E-5AD4-4775-BE3B-8CCCFA0D3C39}"/>
  <tableColumns count="9">
    <tableColumn id="1" xr3:uid="{A30B2ED3-7A02-4E8E-90CA-D54D7198290E}" name="Transaction ID" totalsRowFunction="count" dataDxfId="31" totalsRowDxfId="21"/>
    <tableColumn id="2" xr3:uid="{4C116B59-086D-4930-A335-09EE5FE8FBF6}" name="Date" dataDxfId="30" totalsRowDxfId="12"/>
    <tableColumn id="3" xr3:uid="{0B5225DC-1605-4D2E-8B80-13567E5B760E}" name="Product Category" dataDxfId="29" totalsRowDxfId="13"/>
    <tableColumn id="4" xr3:uid="{D205802A-295A-4783-83AA-1A7D714BFDFC}" name="Product Name" dataDxfId="28" totalsRowDxfId="14"/>
    <tableColumn id="5" xr3:uid="{EB19280B-0A5B-4B45-8541-09D20AABD734}" name="Units Sold" totalsRowFunction="sum" dataDxfId="27" totalsRowDxfId="15"/>
    <tableColumn id="6" xr3:uid="{A8AE015F-AC9D-4FC2-8DA8-1B6F6B2FE76E}" name="Unit Price" totalsRowFunction="sum" dataDxfId="26" totalsRowDxfId="22"/>
    <tableColumn id="7" xr3:uid="{0A79C207-99A5-46E2-9F89-880C3A4025C0}" name="Total Revenue" totalsRowFunction="sum" dataDxfId="25" totalsRowDxfId="16"/>
    <tableColumn id="8" xr3:uid="{8AB6DAB0-DC13-4A61-B018-72C4393AE900}" name="Region" dataDxfId="24" totalsRowDxfId="17"/>
    <tableColumn id="9" xr3:uid="{F549B719-ADC2-4AFF-940D-68BA336EE7FB}" name="Payment Method" totalsRowFunction="count" dataDxfId="23" totalsRow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20372E3-564A-4203-B916-90DBD68E8927}" sourceName="Date">
  <pivotTables>
    <pivotTable tabId="4" name="pc vs tr pvt"/>
    <pivotTable tabId="4" name=" Month vs tr pvt"/>
    <pivotTable tabId="4" name="PivotTable1"/>
    <pivotTable tabId="4" name="PivotTable5"/>
    <pivotTable tabId="4" name="pm vs tr pvt"/>
    <pivotTable tabId="4" name="Rgn vs tr pvt"/>
  </pivotTables>
  <state minimalRefreshVersion="6" lastRefreshVersion="6" pivotCacheId="1685017396"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36711DB-7D99-4869-9618-36A0A9D341FD}" cache="NativeTimeline_Date" caption="Date" level="1"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B28A2AB-D1CE-4BFC-964B-2849857853D7}" cache="NativeTimeline_Date" caption="Date" level="1"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5CC6E-5AD4-4775-BE3B-8CCCFA0D3C39}">
  <dimension ref="A1:I241"/>
  <sheetViews>
    <sheetView workbookViewId="0">
      <selection activeCell="D245" sqref="D245:D246"/>
    </sheetView>
  </sheetViews>
  <sheetFormatPr defaultRowHeight="14.4"/>
  <cols>
    <col min="1" max="1" width="17.21875" style="4" bestFit="1" customWidth="1"/>
    <col min="2" max="2" width="17.5546875" style="1" customWidth="1"/>
    <col min="3" max="3" width="22.21875" customWidth="1"/>
    <col min="4" max="4" width="50.109375" bestFit="1" customWidth="1"/>
    <col min="5" max="5" width="13.77734375" style="4" customWidth="1"/>
    <col min="6" max="6" width="14.33203125" style="3" customWidth="1"/>
    <col min="7" max="7" width="17.109375" style="3" bestFit="1" customWidth="1"/>
    <col min="8" max="8" width="22.21875" customWidth="1"/>
    <col min="9" max="9" width="22.33203125" customWidth="1"/>
  </cols>
  <sheetData>
    <row r="1" spans="1:9">
      <c r="A1" s="9" t="s">
        <v>0</v>
      </c>
      <c r="B1" s="10" t="s">
        <v>1</v>
      </c>
      <c r="C1" s="2" t="s">
        <v>2</v>
      </c>
      <c r="D1" s="2" t="s">
        <v>3</v>
      </c>
      <c r="E1" s="9" t="s">
        <v>4</v>
      </c>
      <c r="F1" s="11" t="s">
        <v>5</v>
      </c>
      <c r="G1" s="11" t="s">
        <v>6</v>
      </c>
      <c r="H1" s="2" t="s">
        <v>7</v>
      </c>
      <c r="I1" s="2" t="s">
        <v>8</v>
      </c>
    </row>
    <row r="2" spans="1:9">
      <c r="A2" s="5">
        <v>10001</v>
      </c>
      <c r="B2" s="6">
        <v>45292</v>
      </c>
      <c r="C2" s="7" t="s">
        <v>9</v>
      </c>
      <c r="D2" s="7" t="s">
        <v>10</v>
      </c>
      <c r="E2" s="5">
        <v>2</v>
      </c>
      <c r="F2" s="8">
        <v>999.99</v>
      </c>
      <c r="G2" s="8">
        <v>1999.98</v>
      </c>
      <c r="H2" s="7" t="s">
        <v>11</v>
      </c>
      <c r="I2" s="7" t="s">
        <v>12</v>
      </c>
    </row>
    <row r="3" spans="1:9">
      <c r="A3" s="5">
        <v>10002</v>
      </c>
      <c r="B3" s="6">
        <v>45293</v>
      </c>
      <c r="C3" s="7" t="s">
        <v>13</v>
      </c>
      <c r="D3" s="7" t="s">
        <v>14</v>
      </c>
      <c r="E3" s="5">
        <v>1</v>
      </c>
      <c r="F3" s="8">
        <v>499.99</v>
      </c>
      <c r="G3" s="8">
        <v>499.99</v>
      </c>
      <c r="H3" s="7" t="s">
        <v>15</v>
      </c>
      <c r="I3" s="7" t="s">
        <v>16</v>
      </c>
    </row>
    <row r="4" spans="1:9">
      <c r="A4" s="5">
        <v>10003</v>
      </c>
      <c r="B4" s="6">
        <v>45294</v>
      </c>
      <c r="C4" s="7" t="s">
        <v>17</v>
      </c>
      <c r="D4" s="7" t="s">
        <v>18</v>
      </c>
      <c r="E4" s="5">
        <v>3</v>
      </c>
      <c r="F4" s="8">
        <v>69.989999999999995</v>
      </c>
      <c r="G4" s="8">
        <v>209.97</v>
      </c>
      <c r="H4" s="7" t="s">
        <v>19</v>
      </c>
      <c r="I4" s="7" t="s">
        <v>20</v>
      </c>
    </row>
    <row r="5" spans="1:9">
      <c r="A5" s="5">
        <v>10004</v>
      </c>
      <c r="B5" s="6">
        <v>45295</v>
      </c>
      <c r="C5" s="7" t="s">
        <v>21</v>
      </c>
      <c r="D5" s="7" t="s">
        <v>22</v>
      </c>
      <c r="E5" s="5">
        <v>4</v>
      </c>
      <c r="F5" s="8">
        <v>15.99</v>
      </c>
      <c r="G5" s="8">
        <v>63.96</v>
      </c>
      <c r="H5" s="7" t="s">
        <v>11</v>
      </c>
      <c r="I5" s="7" t="s">
        <v>12</v>
      </c>
    </row>
    <row r="6" spans="1:9">
      <c r="A6" s="5">
        <v>10005</v>
      </c>
      <c r="B6" s="6">
        <v>45296</v>
      </c>
      <c r="C6" s="7" t="s">
        <v>23</v>
      </c>
      <c r="D6" s="7" t="s">
        <v>24</v>
      </c>
      <c r="E6" s="5">
        <v>1</v>
      </c>
      <c r="F6" s="8">
        <v>89.99</v>
      </c>
      <c r="G6" s="8">
        <v>89.99</v>
      </c>
      <c r="H6" s="7" t="s">
        <v>15</v>
      </c>
      <c r="I6" s="7" t="s">
        <v>16</v>
      </c>
    </row>
    <row r="7" spans="1:9">
      <c r="A7" s="5">
        <v>10006</v>
      </c>
      <c r="B7" s="6">
        <v>45297</v>
      </c>
      <c r="C7" s="7" t="s">
        <v>25</v>
      </c>
      <c r="D7" s="7" t="s">
        <v>26</v>
      </c>
      <c r="E7" s="5">
        <v>5</v>
      </c>
      <c r="F7" s="8">
        <v>29.99</v>
      </c>
      <c r="G7" s="8">
        <v>149.94999999999999</v>
      </c>
      <c r="H7" s="7" t="s">
        <v>19</v>
      </c>
      <c r="I7" s="7" t="s">
        <v>12</v>
      </c>
    </row>
    <row r="8" spans="1:9">
      <c r="A8" s="5">
        <v>10007</v>
      </c>
      <c r="B8" s="6">
        <v>45298</v>
      </c>
      <c r="C8" s="7" t="s">
        <v>9</v>
      </c>
      <c r="D8" s="7" t="s">
        <v>27</v>
      </c>
      <c r="E8" s="5">
        <v>1</v>
      </c>
      <c r="F8" s="8">
        <v>2499.9899999999998</v>
      </c>
      <c r="G8" s="8">
        <v>2499.9899999999998</v>
      </c>
      <c r="H8" s="7" t="s">
        <v>11</v>
      </c>
      <c r="I8" s="7" t="s">
        <v>12</v>
      </c>
    </row>
    <row r="9" spans="1:9">
      <c r="A9" s="5">
        <v>10008</v>
      </c>
      <c r="B9" s="6">
        <v>45299</v>
      </c>
      <c r="C9" s="7" t="s">
        <v>13</v>
      </c>
      <c r="D9" s="7" t="s">
        <v>28</v>
      </c>
      <c r="E9" s="5">
        <v>2</v>
      </c>
      <c r="F9" s="8">
        <v>599.99</v>
      </c>
      <c r="G9" s="8">
        <v>1199.98</v>
      </c>
      <c r="H9" s="7" t="s">
        <v>15</v>
      </c>
      <c r="I9" s="7" t="s">
        <v>16</v>
      </c>
    </row>
    <row r="10" spans="1:9">
      <c r="A10" s="5">
        <v>10009</v>
      </c>
      <c r="B10" s="6">
        <v>45300</v>
      </c>
      <c r="C10" s="7" t="s">
        <v>17</v>
      </c>
      <c r="D10" s="7" t="s">
        <v>29</v>
      </c>
      <c r="E10" s="5">
        <v>6</v>
      </c>
      <c r="F10" s="8">
        <v>89.99</v>
      </c>
      <c r="G10" s="8">
        <v>539.94000000000005</v>
      </c>
      <c r="H10" s="7" t="s">
        <v>19</v>
      </c>
      <c r="I10" s="7" t="s">
        <v>20</v>
      </c>
    </row>
    <row r="11" spans="1:9">
      <c r="A11" s="5">
        <v>10010</v>
      </c>
      <c r="B11" s="6">
        <v>45301</v>
      </c>
      <c r="C11" s="7" t="s">
        <v>21</v>
      </c>
      <c r="D11" s="7" t="s">
        <v>30</v>
      </c>
      <c r="E11" s="5">
        <v>2</v>
      </c>
      <c r="F11" s="8">
        <v>25.99</v>
      </c>
      <c r="G11" s="8">
        <v>51.98</v>
      </c>
      <c r="H11" s="7" t="s">
        <v>11</v>
      </c>
      <c r="I11" s="7" t="s">
        <v>12</v>
      </c>
    </row>
    <row r="12" spans="1:9">
      <c r="A12" s="5">
        <v>10011</v>
      </c>
      <c r="B12" s="6">
        <v>45302</v>
      </c>
      <c r="C12" s="7" t="s">
        <v>23</v>
      </c>
      <c r="D12" s="7" t="s">
        <v>31</v>
      </c>
      <c r="E12" s="5">
        <v>1</v>
      </c>
      <c r="F12" s="8">
        <v>129.99</v>
      </c>
      <c r="G12" s="8">
        <v>129.99</v>
      </c>
      <c r="H12" s="7" t="s">
        <v>15</v>
      </c>
      <c r="I12" s="7" t="s">
        <v>16</v>
      </c>
    </row>
    <row r="13" spans="1:9">
      <c r="A13" s="5">
        <v>10012</v>
      </c>
      <c r="B13" s="6">
        <v>45303</v>
      </c>
      <c r="C13" s="7" t="s">
        <v>25</v>
      </c>
      <c r="D13" s="7" t="s">
        <v>32</v>
      </c>
      <c r="E13" s="5">
        <v>3</v>
      </c>
      <c r="F13" s="8">
        <v>199.99</v>
      </c>
      <c r="G13" s="8">
        <v>599.97</v>
      </c>
      <c r="H13" s="7" t="s">
        <v>19</v>
      </c>
      <c r="I13" s="7" t="s">
        <v>12</v>
      </c>
    </row>
    <row r="14" spans="1:9">
      <c r="A14" s="5">
        <v>10013</v>
      </c>
      <c r="B14" s="6">
        <v>45304</v>
      </c>
      <c r="C14" s="7" t="s">
        <v>9</v>
      </c>
      <c r="D14" s="7" t="s">
        <v>33</v>
      </c>
      <c r="E14" s="5">
        <v>2</v>
      </c>
      <c r="F14" s="8">
        <v>749.99</v>
      </c>
      <c r="G14" s="8">
        <v>1499.98</v>
      </c>
      <c r="H14" s="7" t="s">
        <v>11</v>
      </c>
      <c r="I14" s="7" t="s">
        <v>12</v>
      </c>
    </row>
    <row r="15" spans="1:9">
      <c r="A15" s="5">
        <v>10014</v>
      </c>
      <c r="B15" s="6">
        <v>45305</v>
      </c>
      <c r="C15" s="7" t="s">
        <v>13</v>
      </c>
      <c r="D15" s="7" t="s">
        <v>34</v>
      </c>
      <c r="E15" s="5">
        <v>1</v>
      </c>
      <c r="F15" s="8">
        <v>189.99</v>
      </c>
      <c r="G15" s="8">
        <v>189.99</v>
      </c>
      <c r="H15" s="7" t="s">
        <v>15</v>
      </c>
      <c r="I15" s="7" t="s">
        <v>16</v>
      </c>
    </row>
    <row r="16" spans="1:9">
      <c r="A16" s="5">
        <v>10015</v>
      </c>
      <c r="B16" s="6">
        <v>45306</v>
      </c>
      <c r="C16" s="7" t="s">
        <v>17</v>
      </c>
      <c r="D16" s="7" t="s">
        <v>35</v>
      </c>
      <c r="E16" s="5">
        <v>2</v>
      </c>
      <c r="F16" s="8">
        <v>249.99</v>
      </c>
      <c r="G16" s="8">
        <v>499.98</v>
      </c>
      <c r="H16" s="7" t="s">
        <v>19</v>
      </c>
      <c r="I16" s="7" t="s">
        <v>20</v>
      </c>
    </row>
    <row r="17" spans="1:9">
      <c r="A17" s="5">
        <v>10016</v>
      </c>
      <c r="B17" s="6">
        <v>45307</v>
      </c>
      <c r="C17" s="7" t="s">
        <v>21</v>
      </c>
      <c r="D17" s="7" t="s">
        <v>36</v>
      </c>
      <c r="E17" s="5">
        <v>3</v>
      </c>
      <c r="F17" s="8">
        <v>35.99</v>
      </c>
      <c r="G17" s="8">
        <v>107.97</v>
      </c>
      <c r="H17" s="7" t="s">
        <v>11</v>
      </c>
      <c r="I17" s="7" t="s">
        <v>12</v>
      </c>
    </row>
    <row r="18" spans="1:9">
      <c r="A18" s="5">
        <v>10017</v>
      </c>
      <c r="B18" s="6">
        <v>45308</v>
      </c>
      <c r="C18" s="7" t="s">
        <v>23</v>
      </c>
      <c r="D18" s="7" t="s">
        <v>37</v>
      </c>
      <c r="E18" s="5">
        <v>1</v>
      </c>
      <c r="F18" s="8">
        <v>399.99</v>
      </c>
      <c r="G18" s="8">
        <v>399.99</v>
      </c>
      <c r="H18" s="7" t="s">
        <v>15</v>
      </c>
      <c r="I18" s="7" t="s">
        <v>16</v>
      </c>
    </row>
    <row r="19" spans="1:9">
      <c r="A19" s="5">
        <v>10018</v>
      </c>
      <c r="B19" s="6">
        <v>45309</v>
      </c>
      <c r="C19" s="7" t="s">
        <v>25</v>
      </c>
      <c r="D19" s="7" t="s">
        <v>38</v>
      </c>
      <c r="E19" s="5">
        <v>4</v>
      </c>
      <c r="F19" s="8">
        <v>119.99</v>
      </c>
      <c r="G19" s="8">
        <v>479.96</v>
      </c>
      <c r="H19" s="7" t="s">
        <v>19</v>
      </c>
      <c r="I19" s="7" t="s">
        <v>12</v>
      </c>
    </row>
    <row r="20" spans="1:9">
      <c r="A20" s="5">
        <v>10019</v>
      </c>
      <c r="B20" s="6">
        <v>45310</v>
      </c>
      <c r="C20" s="7" t="s">
        <v>9</v>
      </c>
      <c r="D20" s="7" t="s">
        <v>39</v>
      </c>
      <c r="E20" s="5">
        <v>2</v>
      </c>
      <c r="F20" s="8">
        <v>499.99</v>
      </c>
      <c r="G20" s="8">
        <v>999.98</v>
      </c>
      <c r="H20" s="7" t="s">
        <v>11</v>
      </c>
      <c r="I20" s="7" t="s">
        <v>12</v>
      </c>
    </row>
    <row r="21" spans="1:9">
      <c r="A21" s="5">
        <v>10020</v>
      </c>
      <c r="B21" s="6">
        <v>45311</v>
      </c>
      <c r="C21" s="7" t="s">
        <v>13</v>
      </c>
      <c r="D21" s="7" t="s">
        <v>40</v>
      </c>
      <c r="E21" s="5">
        <v>1</v>
      </c>
      <c r="F21" s="8">
        <v>99.99</v>
      </c>
      <c r="G21" s="8">
        <v>99.99</v>
      </c>
      <c r="H21" s="7" t="s">
        <v>15</v>
      </c>
      <c r="I21" s="7" t="s">
        <v>16</v>
      </c>
    </row>
    <row r="22" spans="1:9">
      <c r="A22" s="5">
        <v>10021</v>
      </c>
      <c r="B22" s="6">
        <v>45312</v>
      </c>
      <c r="C22" s="7" t="s">
        <v>17</v>
      </c>
      <c r="D22" s="7" t="s">
        <v>41</v>
      </c>
      <c r="E22" s="5">
        <v>3</v>
      </c>
      <c r="F22" s="8">
        <v>59.99</v>
      </c>
      <c r="G22" s="8">
        <v>179.97</v>
      </c>
      <c r="H22" s="7" t="s">
        <v>19</v>
      </c>
      <c r="I22" s="7" t="s">
        <v>20</v>
      </c>
    </row>
    <row r="23" spans="1:9">
      <c r="A23" s="5">
        <v>10022</v>
      </c>
      <c r="B23" s="6">
        <v>45313</v>
      </c>
      <c r="C23" s="7" t="s">
        <v>21</v>
      </c>
      <c r="D23" s="7" t="s">
        <v>42</v>
      </c>
      <c r="E23" s="5">
        <v>2</v>
      </c>
      <c r="F23" s="8">
        <v>22.99</v>
      </c>
      <c r="G23" s="8">
        <v>45.98</v>
      </c>
      <c r="H23" s="7" t="s">
        <v>11</v>
      </c>
      <c r="I23" s="7" t="s">
        <v>12</v>
      </c>
    </row>
    <row r="24" spans="1:9">
      <c r="A24" s="5">
        <v>10023</v>
      </c>
      <c r="B24" s="6">
        <v>45314</v>
      </c>
      <c r="C24" s="7" t="s">
        <v>23</v>
      </c>
      <c r="D24" s="7" t="s">
        <v>43</v>
      </c>
      <c r="E24" s="5">
        <v>1</v>
      </c>
      <c r="F24" s="8">
        <v>49.99</v>
      </c>
      <c r="G24" s="8">
        <v>49.99</v>
      </c>
      <c r="H24" s="7" t="s">
        <v>15</v>
      </c>
      <c r="I24" s="7" t="s">
        <v>16</v>
      </c>
    </row>
    <row r="25" spans="1:9">
      <c r="A25" s="5">
        <v>10024</v>
      </c>
      <c r="B25" s="6">
        <v>45315</v>
      </c>
      <c r="C25" s="7" t="s">
        <v>25</v>
      </c>
      <c r="D25" s="7" t="s">
        <v>44</v>
      </c>
      <c r="E25" s="5">
        <v>3</v>
      </c>
      <c r="F25" s="8">
        <v>29.99</v>
      </c>
      <c r="G25" s="8">
        <v>89.97</v>
      </c>
      <c r="H25" s="7" t="s">
        <v>19</v>
      </c>
      <c r="I25" s="7" t="s">
        <v>12</v>
      </c>
    </row>
    <row r="26" spans="1:9">
      <c r="A26" s="5">
        <v>10025</v>
      </c>
      <c r="B26" s="6">
        <v>45316</v>
      </c>
      <c r="C26" s="7" t="s">
        <v>9</v>
      </c>
      <c r="D26" s="7" t="s">
        <v>45</v>
      </c>
      <c r="E26" s="5">
        <v>1</v>
      </c>
      <c r="F26" s="8">
        <v>299.99</v>
      </c>
      <c r="G26" s="8">
        <v>299.99</v>
      </c>
      <c r="H26" s="7" t="s">
        <v>11</v>
      </c>
      <c r="I26" s="7" t="s">
        <v>12</v>
      </c>
    </row>
    <row r="27" spans="1:9">
      <c r="A27" s="5">
        <v>10026</v>
      </c>
      <c r="B27" s="6">
        <v>45317</v>
      </c>
      <c r="C27" s="7" t="s">
        <v>13</v>
      </c>
      <c r="D27" s="7" t="s">
        <v>46</v>
      </c>
      <c r="E27" s="5">
        <v>1</v>
      </c>
      <c r="F27" s="8">
        <v>179.99</v>
      </c>
      <c r="G27" s="8">
        <v>179.99</v>
      </c>
      <c r="H27" s="7" t="s">
        <v>15</v>
      </c>
      <c r="I27" s="7" t="s">
        <v>16</v>
      </c>
    </row>
    <row r="28" spans="1:9">
      <c r="A28" s="5">
        <v>10027</v>
      </c>
      <c r="B28" s="6">
        <v>45318</v>
      </c>
      <c r="C28" s="7" t="s">
        <v>17</v>
      </c>
      <c r="D28" s="7" t="s">
        <v>47</v>
      </c>
      <c r="E28" s="5">
        <v>2</v>
      </c>
      <c r="F28" s="8">
        <v>179.99</v>
      </c>
      <c r="G28" s="8">
        <v>359.98</v>
      </c>
      <c r="H28" s="7" t="s">
        <v>19</v>
      </c>
      <c r="I28" s="7" t="s">
        <v>20</v>
      </c>
    </row>
    <row r="29" spans="1:9">
      <c r="A29" s="5">
        <v>10028</v>
      </c>
      <c r="B29" s="6">
        <v>45319</v>
      </c>
      <c r="C29" s="7" t="s">
        <v>21</v>
      </c>
      <c r="D29" s="7" t="s">
        <v>48</v>
      </c>
      <c r="E29" s="5">
        <v>3</v>
      </c>
      <c r="F29" s="8">
        <v>12.99</v>
      </c>
      <c r="G29" s="8">
        <v>38.97</v>
      </c>
      <c r="H29" s="7" t="s">
        <v>11</v>
      </c>
      <c r="I29" s="7" t="s">
        <v>12</v>
      </c>
    </row>
    <row r="30" spans="1:9">
      <c r="A30" s="5">
        <v>10029</v>
      </c>
      <c r="B30" s="6">
        <v>45320</v>
      </c>
      <c r="C30" s="7" t="s">
        <v>23</v>
      </c>
      <c r="D30" s="7" t="s">
        <v>49</v>
      </c>
      <c r="E30" s="5">
        <v>1</v>
      </c>
      <c r="F30" s="8">
        <v>29.99</v>
      </c>
      <c r="G30" s="8">
        <v>29.99</v>
      </c>
      <c r="H30" s="7" t="s">
        <v>15</v>
      </c>
      <c r="I30" s="7" t="s">
        <v>16</v>
      </c>
    </row>
    <row r="31" spans="1:9">
      <c r="A31" s="5">
        <v>10030</v>
      </c>
      <c r="B31" s="6">
        <v>45321</v>
      </c>
      <c r="C31" s="7" t="s">
        <v>25</v>
      </c>
      <c r="D31" s="7" t="s">
        <v>50</v>
      </c>
      <c r="E31" s="5">
        <v>2</v>
      </c>
      <c r="F31" s="8">
        <v>129.99</v>
      </c>
      <c r="G31" s="8">
        <v>259.98</v>
      </c>
      <c r="H31" s="7" t="s">
        <v>19</v>
      </c>
      <c r="I31" s="7" t="s">
        <v>12</v>
      </c>
    </row>
    <row r="32" spans="1:9">
      <c r="A32" s="5">
        <v>10031</v>
      </c>
      <c r="B32" s="6">
        <v>45322</v>
      </c>
      <c r="C32" s="7" t="s">
        <v>9</v>
      </c>
      <c r="D32" s="7" t="s">
        <v>51</v>
      </c>
      <c r="E32" s="5">
        <v>2</v>
      </c>
      <c r="F32" s="8">
        <v>349.99</v>
      </c>
      <c r="G32" s="8">
        <v>699.98</v>
      </c>
      <c r="H32" s="7" t="s">
        <v>11</v>
      </c>
      <c r="I32" s="7" t="s">
        <v>12</v>
      </c>
    </row>
    <row r="33" spans="1:9">
      <c r="A33" s="5">
        <v>10032</v>
      </c>
      <c r="B33" s="6">
        <v>45323</v>
      </c>
      <c r="C33" s="7" t="s">
        <v>13</v>
      </c>
      <c r="D33" s="7" t="s">
        <v>52</v>
      </c>
      <c r="E33" s="5">
        <v>3</v>
      </c>
      <c r="F33" s="8">
        <v>89.99</v>
      </c>
      <c r="G33" s="8">
        <v>269.97000000000003</v>
      </c>
      <c r="H33" s="7" t="s">
        <v>15</v>
      </c>
      <c r="I33" s="7" t="s">
        <v>16</v>
      </c>
    </row>
    <row r="34" spans="1:9">
      <c r="A34" s="5">
        <v>10033</v>
      </c>
      <c r="B34" s="6">
        <v>45324</v>
      </c>
      <c r="C34" s="7" t="s">
        <v>17</v>
      </c>
      <c r="D34" s="7" t="s">
        <v>53</v>
      </c>
      <c r="E34" s="5">
        <v>5</v>
      </c>
      <c r="F34" s="8">
        <v>29.99</v>
      </c>
      <c r="G34" s="8">
        <v>149.94999999999999</v>
      </c>
      <c r="H34" s="7" t="s">
        <v>19</v>
      </c>
      <c r="I34" s="7" t="s">
        <v>20</v>
      </c>
    </row>
    <row r="35" spans="1:9">
      <c r="A35" s="5">
        <v>10034</v>
      </c>
      <c r="B35" s="6">
        <v>45325</v>
      </c>
      <c r="C35" s="7" t="s">
        <v>21</v>
      </c>
      <c r="D35" s="7" t="s">
        <v>54</v>
      </c>
      <c r="E35" s="5">
        <v>4</v>
      </c>
      <c r="F35" s="8">
        <v>19.989999999999998</v>
      </c>
      <c r="G35" s="8">
        <v>79.959999999999994</v>
      </c>
      <c r="H35" s="7" t="s">
        <v>11</v>
      </c>
      <c r="I35" s="7" t="s">
        <v>12</v>
      </c>
    </row>
    <row r="36" spans="1:9">
      <c r="A36" s="5">
        <v>10035</v>
      </c>
      <c r="B36" s="6">
        <v>45326</v>
      </c>
      <c r="C36" s="7" t="s">
        <v>23</v>
      </c>
      <c r="D36" s="7" t="s">
        <v>55</v>
      </c>
      <c r="E36" s="5">
        <v>2</v>
      </c>
      <c r="F36" s="8">
        <v>39.99</v>
      </c>
      <c r="G36" s="8">
        <v>79.98</v>
      </c>
      <c r="H36" s="7" t="s">
        <v>15</v>
      </c>
      <c r="I36" s="7" t="s">
        <v>16</v>
      </c>
    </row>
    <row r="37" spans="1:9">
      <c r="A37" s="5">
        <v>10036</v>
      </c>
      <c r="B37" s="6">
        <v>45327</v>
      </c>
      <c r="C37" s="7" t="s">
        <v>25</v>
      </c>
      <c r="D37" s="7" t="s">
        <v>56</v>
      </c>
      <c r="E37" s="5">
        <v>1</v>
      </c>
      <c r="F37" s="8">
        <v>1895</v>
      </c>
      <c r="G37" s="8">
        <v>1895</v>
      </c>
      <c r="H37" s="7" t="s">
        <v>19</v>
      </c>
      <c r="I37" s="7" t="s">
        <v>12</v>
      </c>
    </row>
    <row r="38" spans="1:9">
      <c r="A38" s="5">
        <v>10037</v>
      </c>
      <c r="B38" s="6">
        <v>45328</v>
      </c>
      <c r="C38" s="7" t="s">
        <v>9</v>
      </c>
      <c r="D38" s="7" t="s">
        <v>57</v>
      </c>
      <c r="E38" s="5">
        <v>3</v>
      </c>
      <c r="F38" s="8">
        <v>399.99</v>
      </c>
      <c r="G38" s="8">
        <v>1199.97</v>
      </c>
      <c r="H38" s="7" t="s">
        <v>11</v>
      </c>
      <c r="I38" s="7" t="s">
        <v>12</v>
      </c>
    </row>
    <row r="39" spans="1:9">
      <c r="A39" s="5">
        <v>10038</v>
      </c>
      <c r="B39" s="6">
        <v>45329</v>
      </c>
      <c r="C39" s="7" t="s">
        <v>13</v>
      </c>
      <c r="D39" s="7" t="s">
        <v>58</v>
      </c>
      <c r="E39" s="5">
        <v>2</v>
      </c>
      <c r="F39" s="8">
        <v>799.99</v>
      </c>
      <c r="G39" s="8">
        <v>1599.98</v>
      </c>
      <c r="H39" s="7" t="s">
        <v>15</v>
      </c>
      <c r="I39" s="7" t="s">
        <v>16</v>
      </c>
    </row>
    <row r="40" spans="1:9">
      <c r="A40" s="5">
        <v>10039</v>
      </c>
      <c r="B40" s="6">
        <v>45330</v>
      </c>
      <c r="C40" s="7" t="s">
        <v>17</v>
      </c>
      <c r="D40" s="7" t="s">
        <v>59</v>
      </c>
      <c r="E40" s="5">
        <v>4</v>
      </c>
      <c r="F40" s="8">
        <v>59.99</v>
      </c>
      <c r="G40" s="8">
        <v>239.96</v>
      </c>
      <c r="H40" s="7" t="s">
        <v>19</v>
      </c>
      <c r="I40" s="7" t="s">
        <v>20</v>
      </c>
    </row>
    <row r="41" spans="1:9">
      <c r="A41" s="5">
        <v>10040</v>
      </c>
      <c r="B41" s="6">
        <v>45331</v>
      </c>
      <c r="C41" s="7" t="s">
        <v>21</v>
      </c>
      <c r="D41" s="7" t="s">
        <v>60</v>
      </c>
      <c r="E41" s="5">
        <v>3</v>
      </c>
      <c r="F41" s="8">
        <v>24.99</v>
      </c>
      <c r="G41" s="8">
        <v>74.97</v>
      </c>
      <c r="H41" s="7" t="s">
        <v>11</v>
      </c>
      <c r="I41" s="7" t="s">
        <v>12</v>
      </c>
    </row>
    <row r="42" spans="1:9">
      <c r="A42" s="5">
        <v>10041</v>
      </c>
      <c r="B42" s="6">
        <v>45332</v>
      </c>
      <c r="C42" s="7" t="s">
        <v>23</v>
      </c>
      <c r="D42" s="7" t="s">
        <v>61</v>
      </c>
      <c r="E42" s="5">
        <v>1</v>
      </c>
      <c r="F42" s="8">
        <v>105</v>
      </c>
      <c r="G42" s="8">
        <v>105</v>
      </c>
      <c r="H42" s="7" t="s">
        <v>15</v>
      </c>
      <c r="I42" s="7" t="s">
        <v>16</v>
      </c>
    </row>
    <row r="43" spans="1:9">
      <c r="A43" s="5">
        <v>10042</v>
      </c>
      <c r="B43" s="6">
        <v>45333</v>
      </c>
      <c r="C43" s="7" t="s">
        <v>25</v>
      </c>
      <c r="D43" s="7" t="s">
        <v>62</v>
      </c>
      <c r="E43" s="5">
        <v>2</v>
      </c>
      <c r="F43" s="8">
        <v>129.99</v>
      </c>
      <c r="G43" s="8">
        <v>259.98</v>
      </c>
      <c r="H43" s="7" t="s">
        <v>19</v>
      </c>
      <c r="I43" s="7" t="s">
        <v>12</v>
      </c>
    </row>
    <row r="44" spans="1:9">
      <c r="A44" s="5">
        <v>10043</v>
      </c>
      <c r="B44" s="6">
        <v>45334</v>
      </c>
      <c r="C44" s="7" t="s">
        <v>9</v>
      </c>
      <c r="D44" s="7" t="s">
        <v>63</v>
      </c>
      <c r="E44" s="5">
        <v>3</v>
      </c>
      <c r="F44" s="8">
        <v>399.99</v>
      </c>
      <c r="G44" s="8">
        <v>1199.97</v>
      </c>
      <c r="H44" s="7" t="s">
        <v>11</v>
      </c>
      <c r="I44" s="7" t="s">
        <v>12</v>
      </c>
    </row>
    <row r="45" spans="1:9">
      <c r="A45" s="5">
        <v>10044</v>
      </c>
      <c r="B45" s="6">
        <v>45335</v>
      </c>
      <c r="C45" s="7" t="s">
        <v>13</v>
      </c>
      <c r="D45" s="7" t="s">
        <v>64</v>
      </c>
      <c r="E45" s="5">
        <v>1</v>
      </c>
      <c r="F45" s="8">
        <v>199.99</v>
      </c>
      <c r="G45" s="8">
        <v>199.99</v>
      </c>
      <c r="H45" s="7" t="s">
        <v>15</v>
      </c>
      <c r="I45" s="7" t="s">
        <v>16</v>
      </c>
    </row>
    <row r="46" spans="1:9">
      <c r="A46" s="5">
        <v>10045</v>
      </c>
      <c r="B46" s="6">
        <v>45336</v>
      </c>
      <c r="C46" s="7" t="s">
        <v>17</v>
      </c>
      <c r="D46" s="7" t="s">
        <v>65</v>
      </c>
      <c r="E46" s="5">
        <v>2</v>
      </c>
      <c r="F46" s="8">
        <v>139.99</v>
      </c>
      <c r="G46" s="8">
        <v>279.98</v>
      </c>
      <c r="H46" s="7" t="s">
        <v>19</v>
      </c>
      <c r="I46" s="7" t="s">
        <v>20</v>
      </c>
    </row>
    <row r="47" spans="1:9">
      <c r="A47" s="5">
        <v>10046</v>
      </c>
      <c r="B47" s="6">
        <v>45337</v>
      </c>
      <c r="C47" s="7" t="s">
        <v>21</v>
      </c>
      <c r="D47" s="7" t="s">
        <v>66</v>
      </c>
      <c r="E47" s="5">
        <v>4</v>
      </c>
      <c r="F47" s="8">
        <v>32.5</v>
      </c>
      <c r="G47" s="8">
        <v>130</v>
      </c>
      <c r="H47" s="7" t="s">
        <v>11</v>
      </c>
      <c r="I47" s="7" t="s">
        <v>12</v>
      </c>
    </row>
    <row r="48" spans="1:9">
      <c r="A48" s="5">
        <v>10047</v>
      </c>
      <c r="B48" s="6">
        <v>45338</v>
      </c>
      <c r="C48" s="7" t="s">
        <v>23</v>
      </c>
      <c r="D48" s="7" t="s">
        <v>67</v>
      </c>
      <c r="E48" s="5">
        <v>1</v>
      </c>
      <c r="F48" s="8">
        <v>52</v>
      </c>
      <c r="G48" s="8">
        <v>52</v>
      </c>
      <c r="H48" s="7" t="s">
        <v>15</v>
      </c>
      <c r="I48" s="7" t="s">
        <v>16</v>
      </c>
    </row>
    <row r="49" spans="1:9">
      <c r="A49" s="5">
        <v>10048</v>
      </c>
      <c r="B49" s="6">
        <v>45339</v>
      </c>
      <c r="C49" s="7" t="s">
        <v>25</v>
      </c>
      <c r="D49" s="7" t="s">
        <v>68</v>
      </c>
      <c r="E49" s="5">
        <v>6</v>
      </c>
      <c r="F49" s="8">
        <v>39.99</v>
      </c>
      <c r="G49" s="8">
        <v>239.94</v>
      </c>
      <c r="H49" s="7" t="s">
        <v>19</v>
      </c>
      <c r="I49" s="7" t="s">
        <v>12</v>
      </c>
    </row>
    <row r="50" spans="1:9">
      <c r="A50" s="5">
        <v>10049</v>
      </c>
      <c r="B50" s="6">
        <v>45340</v>
      </c>
      <c r="C50" s="7" t="s">
        <v>9</v>
      </c>
      <c r="D50" s="7" t="s">
        <v>69</v>
      </c>
      <c r="E50" s="5">
        <v>2</v>
      </c>
      <c r="F50" s="8">
        <v>129.99</v>
      </c>
      <c r="G50" s="8">
        <v>259.98</v>
      </c>
      <c r="H50" s="7" t="s">
        <v>11</v>
      </c>
      <c r="I50" s="7" t="s">
        <v>12</v>
      </c>
    </row>
    <row r="51" spans="1:9">
      <c r="A51" s="5">
        <v>10050</v>
      </c>
      <c r="B51" s="6">
        <v>45341</v>
      </c>
      <c r="C51" s="7" t="s">
        <v>13</v>
      </c>
      <c r="D51" s="7" t="s">
        <v>70</v>
      </c>
      <c r="E51" s="5">
        <v>1</v>
      </c>
      <c r="F51" s="8">
        <v>299.99</v>
      </c>
      <c r="G51" s="8">
        <v>299.99</v>
      </c>
      <c r="H51" s="7" t="s">
        <v>15</v>
      </c>
      <c r="I51" s="7" t="s">
        <v>16</v>
      </c>
    </row>
    <row r="52" spans="1:9">
      <c r="A52" s="5">
        <v>10051</v>
      </c>
      <c r="B52" s="6">
        <v>45342</v>
      </c>
      <c r="C52" s="7" t="s">
        <v>17</v>
      </c>
      <c r="D52" s="7" t="s">
        <v>71</v>
      </c>
      <c r="E52" s="5">
        <v>3</v>
      </c>
      <c r="F52" s="8">
        <v>154.99</v>
      </c>
      <c r="G52" s="8">
        <v>464.97</v>
      </c>
      <c r="H52" s="7" t="s">
        <v>19</v>
      </c>
      <c r="I52" s="7" t="s">
        <v>20</v>
      </c>
    </row>
    <row r="53" spans="1:9">
      <c r="A53" s="5">
        <v>10052</v>
      </c>
      <c r="B53" s="6">
        <v>45343</v>
      </c>
      <c r="C53" s="7" t="s">
        <v>21</v>
      </c>
      <c r="D53" s="7" t="s">
        <v>72</v>
      </c>
      <c r="E53" s="5">
        <v>2</v>
      </c>
      <c r="F53" s="8">
        <v>26.99</v>
      </c>
      <c r="G53" s="8">
        <v>53.98</v>
      </c>
      <c r="H53" s="7" t="s">
        <v>11</v>
      </c>
      <c r="I53" s="7" t="s">
        <v>12</v>
      </c>
    </row>
    <row r="54" spans="1:9">
      <c r="A54" s="5">
        <v>10053</v>
      </c>
      <c r="B54" s="6">
        <v>45344</v>
      </c>
      <c r="C54" s="7" t="s">
        <v>23</v>
      </c>
      <c r="D54" s="7" t="s">
        <v>73</v>
      </c>
      <c r="E54" s="5">
        <v>1</v>
      </c>
      <c r="F54" s="8">
        <v>49</v>
      </c>
      <c r="G54" s="8">
        <v>49</v>
      </c>
      <c r="H54" s="7" t="s">
        <v>15</v>
      </c>
      <c r="I54" s="7" t="s">
        <v>16</v>
      </c>
    </row>
    <row r="55" spans="1:9">
      <c r="A55" s="5">
        <v>10054</v>
      </c>
      <c r="B55" s="6">
        <v>45345</v>
      </c>
      <c r="C55" s="7" t="s">
        <v>25</v>
      </c>
      <c r="D55" s="7" t="s">
        <v>74</v>
      </c>
      <c r="E55" s="5">
        <v>5</v>
      </c>
      <c r="F55" s="8">
        <v>49.99</v>
      </c>
      <c r="G55" s="8">
        <v>249.95</v>
      </c>
      <c r="H55" s="7" t="s">
        <v>19</v>
      </c>
      <c r="I55" s="7" t="s">
        <v>12</v>
      </c>
    </row>
    <row r="56" spans="1:9">
      <c r="A56" s="5">
        <v>10055</v>
      </c>
      <c r="B56" s="6">
        <v>45346</v>
      </c>
      <c r="C56" s="7" t="s">
        <v>9</v>
      </c>
      <c r="D56" s="7" t="s">
        <v>75</v>
      </c>
      <c r="E56" s="5">
        <v>4</v>
      </c>
      <c r="F56" s="8">
        <v>59.99</v>
      </c>
      <c r="G56" s="8">
        <v>239.96</v>
      </c>
      <c r="H56" s="7" t="s">
        <v>11</v>
      </c>
      <c r="I56" s="7" t="s">
        <v>12</v>
      </c>
    </row>
    <row r="57" spans="1:9">
      <c r="A57" s="5">
        <v>10056</v>
      </c>
      <c r="B57" s="6">
        <v>45347</v>
      </c>
      <c r="C57" s="7" t="s">
        <v>13</v>
      </c>
      <c r="D57" s="7" t="s">
        <v>76</v>
      </c>
      <c r="E57" s="5">
        <v>1</v>
      </c>
      <c r="F57" s="8">
        <v>499.99</v>
      </c>
      <c r="G57" s="8">
        <v>499.99</v>
      </c>
      <c r="H57" s="7" t="s">
        <v>15</v>
      </c>
      <c r="I57" s="7" t="s">
        <v>16</v>
      </c>
    </row>
    <row r="58" spans="1:9">
      <c r="A58" s="5">
        <v>10057</v>
      </c>
      <c r="B58" s="6">
        <v>45348</v>
      </c>
      <c r="C58" s="7" t="s">
        <v>17</v>
      </c>
      <c r="D58" s="7" t="s">
        <v>77</v>
      </c>
      <c r="E58" s="5">
        <v>5</v>
      </c>
      <c r="F58" s="8">
        <v>29.99</v>
      </c>
      <c r="G58" s="8">
        <v>149.94999999999999</v>
      </c>
      <c r="H58" s="7" t="s">
        <v>19</v>
      </c>
      <c r="I58" s="7" t="s">
        <v>20</v>
      </c>
    </row>
    <row r="59" spans="1:9">
      <c r="A59" s="5">
        <v>10058</v>
      </c>
      <c r="B59" s="6">
        <v>45349</v>
      </c>
      <c r="C59" s="7" t="s">
        <v>21</v>
      </c>
      <c r="D59" s="7" t="s">
        <v>78</v>
      </c>
      <c r="E59" s="5">
        <v>3</v>
      </c>
      <c r="F59" s="8">
        <v>28</v>
      </c>
      <c r="G59" s="8">
        <v>84</v>
      </c>
      <c r="H59" s="7" t="s">
        <v>11</v>
      </c>
      <c r="I59" s="7" t="s">
        <v>12</v>
      </c>
    </row>
    <row r="60" spans="1:9">
      <c r="A60" s="5">
        <v>10059</v>
      </c>
      <c r="B60" s="6">
        <v>45350</v>
      </c>
      <c r="C60" s="7" t="s">
        <v>23</v>
      </c>
      <c r="D60" s="7" t="s">
        <v>79</v>
      </c>
      <c r="E60" s="5">
        <v>2</v>
      </c>
      <c r="F60" s="8">
        <v>23</v>
      </c>
      <c r="G60" s="8">
        <v>46</v>
      </c>
      <c r="H60" s="7" t="s">
        <v>15</v>
      </c>
      <c r="I60" s="7" t="s">
        <v>16</v>
      </c>
    </row>
    <row r="61" spans="1:9">
      <c r="A61" s="5">
        <v>10060</v>
      </c>
      <c r="B61" s="6">
        <v>45351</v>
      </c>
      <c r="C61" s="7" t="s">
        <v>25</v>
      </c>
      <c r="D61" s="7" t="s">
        <v>80</v>
      </c>
      <c r="E61" s="5">
        <v>1</v>
      </c>
      <c r="F61" s="8">
        <v>349</v>
      </c>
      <c r="G61" s="8">
        <v>349</v>
      </c>
      <c r="H61" s="7" t="s">
        <v>19</v>
      </c>
      <c r="I61" s="7" t="s">
        <v>12</v>
      </c>
    </row>
    <row r="62" spans="1:9">
      <c r="A62" s="5">
        <v>10061</v>
      </c>
      <c r="B62" s="6">
        <v>45352</v>
      </c>
      <c r="C62" s="7" t="s">
        <v>9</v>
      </c>
      <c r="D62" s="7" t="s">
        <v>81</v>
      </c>
      <c r="E62" s="5">
        <v>3</v>
      </c>
      <c r="F62" s="8">
        <v>299.99</v>
      </c>
      <c r="G62" s="8">
        <v>899.97</v>
      </c>
      <c r="H62" s="7" t="s">
        <v>11</v>
      </c>
      <c r="I62" s="7" t="s">
        <v>12</v>
      </c>
    </row>
    <row r="63" spans="1:9">
      <c r="A63" s="5">
        <v>10062</v>
      </c>
      <c r="B63" s="6">
        <v>45353</v>
      </c>
      <c r="C63" s="7" t="s">
        <v>13</v>
      </c>
      <c r="D63" s="7" t="s">
        <v>82</v>
      </c>
      <c r="E63" s="5">
        <v>2</v>
      </c>
      <c r="F63" s="8">
        <v>199.99</v>
      </c>
      <c r="G63" s="8">
        <v>399.98</v>
      </c>
      <c r="H63" s="7" t="s">
        <v>15</v>
      </c>
      <c r="I63" s="7" t="s">
        <v>16</v>
      </c>
    </row>
    <row r="64" spans="1:9">
      <c r="A64" s="5">
        <v>10063</v>
      </c>
      <c r="B64" s="6">
        <v>45354</v>
      </c>
      <c r="C64" s="7" t="s">
        <v>17</v>
      </c>
      <c r="D64" s="7" t="s">
        <v>83</v>
      </c>
      <c r="E64" s="5">
        <v>10</v>
      </c>
      <c r="F64" s="8">
        <v>9.99</v>
      </c>
      <c r="G64" s="8">
        <v>99.9</v>
      </c>
      <c r="H64" s="7" t="s">
        <v>19</v>
      </c>
      <c r="I64" s="7" t="s">
        <v>20</v>
      </c>
    </row>
    <row r="65" spans="1:9">
      <c r="A65" s="5">
        <v>10064</v>
      </c>
      <c r="B65" s="6">
        <v>45355</v>
      </c>
      <c r="C65" s="7" t="s">
        <v>21</v>
      </c>
      <c r="D65" s="7" t="s">
        <v>84</v>
      </c>
      <c r="E65" s="5">
        <v>4</v>
      </c>
      <c r="F65" s="8">
        <v>18.989999999999998</v>
      </c>
      <c r="G65" s="8">
        <v>75.959999999999994</v>
      </c>
      <c r="H65" s="7" t="s">
        <v>11</v>
      </c>
      <c r="I65" s="7" t="s">
        <v>12</v>
      </c>
    </row>
    <row r="66" spans="1:9">
      <c r="A66" s="5">
        <v>10065</v>
      </c>
      <c r="B66" s="6">
        <v>45356</v>
      </c>
      <c r="C66" s="7" t="s">
        <v>23</v>
      </c>
      <c r="D66" s="7" t="s">
        <v>85</v>
      </c>
      <c r="E66" s="5">
        <v>1</v>
      </c>
      <c r="F66" s="8">
        <v>102</v>
      </c>
      <c r="G66" s="8">
        <v>102</v>
      </c>
      <c r="H66" s="7" t="s">
        <v>15</v>
      </c>
      <c r="I66" s="7" t="s">
        <v>16</v>
      </c>
    </row>
    <row r="67" spans="1:9">
      <c r="A67" s="5">
        <v>10066</v>
      </c>
      <c r="B67" s="6">
        <v>45357</v>
      </c>
      <c r="C67" s="7" t="s">
        <v>25</v>
      </c>
      <c r="D67" s="7" t="s">
        <v>86</v>
      </c>
      <c r="E67" s="5">
        <v>2</v>
      </c>
      <c r="F67" s="8">
        <v>299.99</v>
      </c>
      <c r="G67" s="8">
        <v>599.98</v>
      </c>
      <c r="H67" s="7" t="s">
        <v>19</v>
      </c>
      <c r="I67" s="7" t="s">
        <v>12</v>
      </c>
    </row>
    <row r="68" spans="1:9">
      <c r="A68" s="5">
        <v>10067</v>
      </c>
      <c r="B68" s="6">
        <v>45358</v>
      </c>
      <c r="C68" s="7" t="s">
        <v>9</v>
      </c>
      <c r="D68" s="7" t="s">
        <v>87</v>
      </c>
      <c r="E68" s="5">
        <v>1</v>
      </c>
      <c r="F68" s="8">
        <v>1199.99</v>
      </c>
      <c r="G68" s="8">
        <v>1199.99</v>
      </c>
      <c r="H68" s="7" t="s">
        <v>11</v>
      </c>
      <c r="I68" s="7" t="s">
        <v>12</v>
      </c>
    </row>
    <row r="69" spans="1:9">
      <c r="A69" s="5">
        <v>10068</v>
      </c>
      <c r="B69" s="6">
        <v>45359</v>
      </c>
      <c r="C69" s="7" t="s">
        <v>13</v>
      </c>
      <c r="D69" s="7" t="s">
        <v>88</v>
      </c>
      <c r="E69" s="5">
        <v>3</v>
      </c>
      <c r="F69" s="8">
        <v>219.99</v>
      </c>
      <c r="G69" s="8">
        <v>659.97</v>
      </c>
      <c r="H69" s="7" t="s">
        <v>15</v>
      </c>
      <c r="I69" s="7" t="s">
        <v>16</v>
      </c>
    </row>
    <row r="70" spans="1:9">
      <c r="A70" s="5">
        <v>10069</v>
      </c>
      <c r="B70" s="6">
        <v>45360</v>
      </c>
      <c r="C70" s="7" t="s">
        <v>17</v>
      </c>
      <c r="D70" s="7" t="s">
        <v>89</v>
      </c>
      <c r="E70" s="5">
        <v>4</v>
      </c>
      <c r="F70" s="8">
        <v>59.99</v>
      </c>
      <c r="G70" s="8">
        <v>239.96</v>
      </c>
      <c r="H70" s="7" t="s">
        <v>19</v>
      </c>
      <c r="I70" s="7" t="s">
        <v>20</v>
      </c>
    </row>
    <row r="71" spans="1:9">
      <c r="A71" s="5">
        <v>10070</v>
      </c>
      <c r="B71" s="6">
        <v>45361</v>
      </c>
      <c r="C71" s="7" t="s">
        <v>21</v>
      </c>
      <c r="D71" s="7" t="s">
        <v>90</v>
      </c>
      <c r="E71" s="5">
        <v>2</v>
      </c>
      <c r="F71" s="8">
        <v>10.99</v>
      </c>
      <c r="G71" s="8">
        <v>21.98</v>
      </c>
      <c r="H71" s="7" t="s">
        <v>11</v>
      </c>
      <c r="I71" s="7" t="s">
        <v>12</v>
      </c>
    </row>
    <row r="72" spans="1:9">
      <c r="A72" s="5">
        <v>10071</v>
      </c>
      <c r="B72" s="6">
        <v>45362</v>
      </c>
      <c r="C72" s="7" t="s">
        <v>23</v>
      </c>
      <c r="D72" s="7" t="s">
        <v>91</v>
      </c>
      <c r="E72" s="5">
        <v>1</v>
      </c>
      <c r="F72" s="8">
        <v>78</v>
      </c>
      <c r="G72" s="8">
        <v>78</v>
      </c>
      <c r="H72" s="7" t="s">
        <v>15</v>
      </c>
      <c r="I72" s="7" t="s">
        <v>16</v>
      </c>
    </row>
    <row r="73" spans="1:9">
      <c r="A73" s="5">
        <v>10072</v>
      </c>
      <c r="B73" s="6">
        <v>45363</v>
      </c>
      <c r="C73" s="7" t="s">
        <v>25</v>
      </c>
      <c r="D73" s="7" t="s">
        <v>92</v>
      </c>
      <c r="E73" s="5">
        <v>3</v>
      </c>
      <c r="F73" s="8">
        <v>129.99</v>
      </c>
      <c r="G73" s="8">
        <v>389.97</v>
      </c>
      <c r="H73" s="7" t="s">
        <v>19</v>
      </c>
      <c r="I73" s="7" t="s">
        <v>12</v>
      </c>
    </row>
    <row r="74" spans="1:9">
      <c r="A74" s="5">
        <v>10073</v>
      </c>
      <c r="B74" s="6">
        <v>45364</v>
      </c>
      <c r="C74" s="7" t="s">
        <v>9</v>
      </c>
      <c r="D74" s="7" t="s">
        <v>93</v>
      </c>
      <c r="E74" s="5">
        <v>1</v>
      </c>
      <c r="F74" s="8">
        <v>1599.99</v>
      </c>
      <c r="G74" s="8">
        <v>1599.99</v>
      </c>
      <c r="H74" s="7" t="s">
        <v>11</v>
      </c>
      <c r="I74" s="7" t="s">
        <v>12</v>
      </c>
    </row>
    <row r="75" spans="1:9">
      <c r="A75" s="5">
        <v>10074</v>
      </c>
      <c r="B75" s="6">
        <v>45365</v>
      </c>
      <c r="C75" s="7" t="s">
        <v>13</v>
      </c>
      <c r="D75" s="7" t="s">
        <v>94</v>
      </c>
      <c r="E75" s="5">
        <v>1</v>
      </c>
      <c r="F75" s="8">
        <v>899.99</v>
      </c>
      <c r="G75" s="8">
        <v>899.99</v>
      </c>
      <c r="H75" s="7" t="s">
        <v>15</v>
      </c>
      <c r="I75" s="7" t="s">
        <v>16</v>
      </c>
    </row>
    <row r="76" spans="1:9">
      <c r="A76" s="5">
        <v>10075</v>
      </c>
      <c r="B76" s="6">
        <v>45366</v>
      </c>
      <c r="C76" s="7" t="s">
        <v>17</v>
      </c>
      <c r="D76" s="7" t="s">
        <v>95</v>
      </c>
      <c r="E76" s="5">
        <v>5</v>
      </c>
      <c r="F76" s="8">
        <v>49.99</v>
      </c>
      <c r="G76" s="8">
        <v>249.95</v>
      </c>
      <c r="H76" s="7" t="s">
        <v>19</v>
      </c>
      <c r="I76" s="7" t="s">
        <v>20</v>
      </c>
    </row>
    <row r="77" spans="1:9">
      <c r="A77" s="5">
        <v>10076</v>
      </c>
      <c r="B77" s="6">
        <v>45367</v>
      </c>
      <c r="C77" s="7" t="s">
        <v>21</v>
      </c>
      <c r="D77" s="7" t="s">
        <v>96</v>
      </c>
      <c r="E77" s="5">
        <v>4</v>
      </c>
      <c r="F77" s="8">
        <v>14.99</v>
      </c>
      <c r="G77" s="8">
        <v>59.96</v>
      </c>
      <c r="H77" s="7" t="s">
        <v>11</v>
      </c>
      <c r="I77" s="7" t="s">
        <v>12</v>
      </c>
    </row>
    <row r="78" spans="1:9">
      <c r="A78" s="5">
        <v>10077</v>
      </c>
      <c r="B78" s="6">
        <v>45368</v>
      </c>
      <c r="C78" s="7" t="s">
        <v>23</v>
      </c>
      <c r="D78" s="7" t="s">
        <v>97</v>
      </c>
      <c r="E78" s="5">
        <v>2</v>
      </c>
      <c r="F78" s="8">
        <v>16</v>
      </c>
      <c r="G78" s="8">
        <v>32</v>
      </c>
      <c r="H78" s="7" t="s">
        <v>15</v>
      </c>
      <c r="I78" s="7" t="s">
        <v>16</v>
      </c>
    </row>
    <row r="79" spans="1:9">
      <c r="A79" s="5">
        <v>10078</v>
      </c>
      <c r="B79" s="6">
        <v>45369</v>
      </c>
      <c r="C79" s="7" t="s">
        <v>25</v>
      </c>
      <c r="D79" s="7" t="s">
        <v>98</v>
      </c>
      <c r="E79" s="5">
        <v>3</v>
      </c>
      <c r="F79" s="8">
        <v>69.989999999999995</v>
      </c>
      <c r="G79" s="8">
        <v>209.97</v>
      </c>
      <c r="H79" s="7" t="s">
        <v>19</v>
      </c>
      <c r="I79" s="7" t="s">
        <v>12</v>
      </c>
    </row>
    <row r="80" spans="1:9">
      <c r="A80" s="5">
        <v>10079</v>
      </c>
      <c r="B80" s="6">
        <v>45370</v>
      </c>
      <c r="C80" s="7" t="s">
        <v>9</v>
      </c>
      <c r="D80" s="7" t="s">
        <v>99</v>
      </c>
      <c r="E80" s="5">
        <v>2</v>
      </c>
      <c r="F80" s="8">
        <v>249.99</v>
      </c>
      <c r="G80" s="8">
        <v>499.98</v>
      </c>
      <c r="H80" s="7" t="s">
        <v>11</v>
      </c>
      <c r="I80" s="7" t="s">
        <v>12</v>
      </c>
    </row>
    <row r="81" spans="1:9">
      <c r="A81" s="5">
        <v>10080</v>
      </c>
      <c r="B81" s="6">
        <v>45371</v>
      </c>
      <c r="C81" s="7" t="s">
        <v>13</v>
      </c>
      <c r="D81" s="7" t="s">
        <v>100</v>
      </c>
      <c r="E81" s="5">
        <v>1</v>
      </c>
      <c r="F81" s="8">
        <v>499.99</v>
      </c>
      <c r="G81" s="8">
        <v>499.99</v>
      </c>
      <c r="H81" s="7" t="s">
        <v>15</v>
      </c>
      <c r="I81" s="7" t="s">
        <v>16</v>
      </c>
    </row>
    <row r="82" spans="1:9">
      <c r="A82" s="5">
        <v>10081</v>
      </c>
      <c r="B82" s="6">
        <v>45372</v>
      </c>
      <c r="C82" s="7" t="s">
        <v>17</v>
      </c>
      <c r="D82" s="7" t="s">
        <v>101</v>
      </c>
      <c r="E82" s="5">
        <v>2</v>
      </c>
      <c r="F82" s="8">
        <v>89.99</v>
      </c>
      <c r="G82" s="8">
        <v>179.98</v>
      </c>
      <c r="H82" s="7" t="s">
        <v>19</v>
      </c>
      <c r="I82" s="7" t="s">
        <v>20</v>
      </c>
    </row>
    <row r="83" spans="1:9">
      <c r="A83" s="5">
        <v>10082</v>
      </c>
      <c r="B83" s="6">
        <v>45373</v>
      </c>
      <c r="C83" s="7" t="s">
        <v>21</v>
      </c>
      <c r="D83" s="7" t="s">
        <v>102</v>
      </c>
      <c r="E83" s="5">
        <v>3</v>
      </c>
      <c r="F83" s="8">
        <v>12.99</v>
      </c>
      <c r="G83" s="8">
        <v>38.97</v>
      </c>
      <c r="H83" s="7" t="s">
        <v>11</v>
      </c>
      <c r="I83" s="7" t="s">
        <v>12</v>
      </c>
    </row>
    <row r="84" spans="1:9">
      <c r="A84" s="5">
        <v>10083</v>
      </c>
      <c r="B84" s="6">
        <v>45374</v>
      </c>
      <c r="C84" s="7" t="s">
        <v>23</v>
      </c>
      <c r="D84" s="7" t="s">
        <v>103</v>
      </c>
      <c r="E84" s="5">
        <v>1</v>
      </c>
      <c r="F84" s="8">
        <v>100</v>
      </c>
      <c r="G84" s="8">
        <v>100</v>
      </c>
      <c r="H84" s="7" t="s">
        <v>15</v>
      </c>
      <c r="I84" s="7" t="s">
        <v>16</v>
      </c>
    </row>
    <row r="85" spans="1:9">
      <c r="A85" s="5">
        <v>10084</v>
      </c>
      <c r="B85" s="6">
        <v>45375</v>
      </c>
      <c r="C85" s="7" t="s">
        <v>25</v>
      </c>
      <c r="D85" s="7" t="s">
        <v>104</v>
      </c>
      <c r="E85" s="5">
        <v>6</v>
      </c>
      <c r="F85" s="8">
        <v>24.99</v>
      </c>
      <c r="G85" s="8">
        <v>149.94</v>
      </c>
      <c r="H85" s="7" t="s">
        <v>19</v>
      </c>
      <c r="I85" s="7" t="s">
        <v>12</v>
      </c>
    </row>
    <row r="86" spans="1:9">
      <c r="A86" s="5">
        <v>10085</v>
      </c>
      <c r="B86" s="6">
        <v>45376</v>
      </c>
      <c r="C86" s="7" t="s">
        <v>9</v>
      </c>
      <c r="D86" s="7" t="s">
        <v>105</v>
      </c>
      <c r="E86" s="5">
        <v>1</v>
      </c>
      <c r="F86" s="8">
        <v>99.99</v>
      </c>
      <c r="G86" s="8">
        <v>99.99</v>
      </c>
      <c r="H86" s="7" t="s">
        <v>11</v>
      </c>
      <c r="I86" s="7" t="s">
        <v>12</v>
      </c>
    </row>
    <row r="87" spans="1:9">
      <c r="A87" s="5">
        <v>10086</v>
      </c>
      <c r="B87" s="6">
        <v>45377</v>
      </c>
      <c r="C87" s="7" t="s">
        <v>13</v>
      </c>
      <c r="D87" s="7" t="s">
        <v>106</v>
      </c>
      <c r="E87" s="5">
        <v>2</v>
      </c>
      <c r="F87" s="8">
        <v>1299.99</v>
      </c>
      <c r="G87" s="8">
        <v>2599.98</v>
      </c>
      <c r="H87" s="7" t="s">
        <v>15</v>
      </c>
      <c r="I87" s="7" t="s">
        <v>16</v>
      </c>
    </row>
    <row r="88" spans="1:9">
      <c r="A88" s="5">
        <v>10087</v>
      </c>
      <c r="B88" s="6">
        <v>45378</v>
      </c>
      <c r="C88" s="7" t="s">
        <v>17</v>
      </c>
      <c r="D88" s="7" t="s">
        <v>107</v>
      </c>
      <c r="E88" s="5">
        <v>3</v>
      </c>
      <c r="F88" s="8">
        <v>79.989999999999995</v>
      </c>
      <c r="G88" s="8">
        <v>239.97</v>
      </c>
      <c r="H88" s="7" t="s">
        <v>19</v>
      </c>
      <c r="I88" s="7" t="s">
        <v>20</v>
      </c>
    </row>
    <row r="89" spans="1:9">
      <c r="A89" s="5">
        <v>10088</v>
      </c>
      <c r="B89" s="6">
        <v>45379</v>
      </c>
      <c r="C89" s="7" t="s">
        <v>21</v>
      </c>
      <c r="D89" s="7" t="s">
        <v>108</v>
      </c>
      <c r="E89" s="5">
        <v>4</v>
      </c>
      <c r="F89" s="8">
        <v>13.99</v>
      </c>
      <c r="G89" s="8">
        <v>55.96</v>
      </c>
      <c r="H89" s="7" t="s">
        <v>11</v>
      </c>
      <c r="I89" s="7" t="s">
        <v>12</v>
      </c>
    </row>
    <row r="90" spans="1:9">
      <c r="A90" s="5">
        <v>10089</v>
      </c>
      <c r="B90" s="6">
        <v>45380</v>
      </c>
      <c r="C90" s="7" t="s">
        <v>23</v>
      </c>
      <c r="D90" s="7" t="s">
        <v>109</v>
      </c>
      <c r="E90" s="5">
        <v>1</v>
      </c>
      <c r="F90" s="8">
        <v>105</v>
      </c>
      <c r="G90" s="8">
        <v>105</v>
      </c>
      <c r="H90" s="7" t="s">
        <v>15</v>
      </c>
      <c r="I90" s="7" t="s">
        <v>16</v>
      </c>
    </row>
    <row r="91" spans="1:9">
      <c r="A91" s="5">
        <v>10090</v>
      </c>
      <c r="B91" s="6">
        <v>45381</v>
      </c>
      <c r="C91" s="7" t="s">
        <v>25</v>
      </c>
      <c r="D91" s="7" t="s">
        <v>110</v>
      </c>
      <c r="E91" s="5">
        <v>2</v>
      </c>
      <c r="F91" s="8">
        <v>129.99</v>
      </c>
      <c r="G91" s="8">
        <v>259.98</v>
      </c>
      <c r="H91" s="7" t="s">
        <v>19</v>
      </c>
      <c r="I91" s="7" t="s">
        <v>12</v>
      </c>
    </row>
    <row r="92" spans="1:9">
      <c r="A92" s="5">
        <v>10091</v>
      </c>
      <c r="B92" s="6">
        <v>45382</v>
      </c>
      <c r="C92" s="7" t="s">
        <v>9</v>
      </c>
      <c r="D92" s="7" t="s">
        <v>111</v>
      </c>
      <c r="E92" s="5">
        <v>2</v>
      </c>
      <c r="F92" s="8">
        <v>99.99</v>
      </c>
      <c r="G92" s="8">
        <v>199.98</v>
      </c>
      <c r="H92" s="7" t="s">
        <v>11</v>
      </c>
      <c r="I92" s="7" t="s">
        <v>12</v>
      </c>
    </row>
    <row r="93" spans="1:9">
      <c r="A93" s="5">
        <v>10092</v>
      </c>
      <c r="B93" s="6">
        <v>45383</v>
      </c>
      <c r="C93" s="7" t="s">
        <v>13</v>
      </c>
      <c r="D93" s="7" t="s">
        <v>112</v>
      </c>
      <c r="E93" s="5">
        <v>1</v>
      </c>
      <c r="F93" s="8">
        <v>179.99</v>
      </c>
      <c r="G93" s="8">
        <v>179.99</v>
      </c>
      <c r="H93" s="7" t="s">
        <v>15</v>
      </c>
      <c r="I93" s="7" t="s">
        <v>16</v>
      </c>
    </row>
    <row r="94" spans="1:9">
      <c r="A94" s="5">
        <v>10093</v>
      </c>
      <c r="B94" s="6">
        <v>45384</v>
      </c>
      <c r="C94" s="7" t="s">
        <v>17</v>
      </c>
      <c r="D94" s="7" t="s">
        <v>113</v>
      </c>
      <c r="E94" s="5">
        <v>4</v>
      </c>
      <c r="F94" s="8">
        <v>79.989999999999995</v>
      </c>
      <c r="G94" s="8">
        <v>319.95999999999998</v>
      </c>
      <c r="H94" s="7" t="s">
        <v>19</v>
      </c>
      <c r="I94" s="7" t="s">
        <v>20</v>
      </c>
    </row>
    <row r="95" spans="1:9">
      <c r="A95" s="5">
        <v>10094</v>
      </c>
      <c r="B95" s="6">
        <v>45385</v>
      </c>
      <c r="C95" s="7" t="s">
        <v>21</v>
      </c>
      <c r="D95" s="7" t="s">
        <v>114</v>
      </c>
      <c r="E95" s="5">
        <v>3</v>
      </c>
      <c r="F95" s="8">
        <v>14.99</v>
      </c>
      <c r="G95" s="8">
        <v>44.97</v>
      </c>
      <c r="H95" s="7" t="s">
        <v>11</v>
      </c>
      <c r="I95" s="7" t="s">
        <v>12</v>
      </c>
    </row>
    <row r="96" spans="1:9">
      <c r="A96" s="5">
        <v>10095</v>
      </c>
      <c r="B96" s="6">
        <v>45386</v>
      </c>
      <c r="C96" s="7" t="s">
        <v>23</v>
      </c>
      <c r="D96" s="7" t="s">
        <v>115</v>
      </c>
      <c r="E96" s="5">
        <v>1</v>
      </c>
      <c r="F96" s="8">
        <v>68</v>
      </c>
      <c r="G96" s="8">
        <v>68</v>
      </c>
      <c r="H96" s="7" t="s">
        <v>15</v>
      </c>
      <c r="I96" s="7" t="s">
        <v>16</v>
      </c>
    </row>
    <row r="97" spans="1:9">
      <c r="A97" s="5">
        <v>10096</v>
      </c>
      <c r="B97" s="6">
        <v>45387</v>
      </c>
      <c r="C97" s="7" t="s">
        <v>25</v>
      </c>
      <c r="D97" s="7" t="s">
        <v>116</v>
      </c>
      <c r="E97" s="5">
        <v>1</v>
      </c>
      <c r="F97" s="8">
        <v>999.99</v>
      </c>
      <c r="G97" s="8">
        <v>999.99</v>
      </c>
      <c r="H97" s="7" t="s">
        <v>19</v>
      </c>
      <c r="I97" s="7" t="s">
        <v>12</v>
      </c>
    </row>
    <row r="98" spans="1:9">
      <c r="A98" s="5">
        <v>10097</v>
      </c>
      <c r="B98" s="6">
        <v>45388</v>
      </c>
      <c r="C98" s="7" t="s">
        <v>9</v>
      </c>
      <c r="D98" s="7" t="s">
        <v>117</v>
      </c>
      <c r="E98" s="5">
        <v>3</v>
      </c>
      <c r="F98" s="8">
        <v>299.99</v>
      </c>
      <c r="G98" s="8">
        <v>899.97</v>
      </c>
      <c r="H98" s="7" t="s">
        <v>11</v>
      </c>
      <c r="I98" s="7" t="s">
        <v>12</v>
      </c>
    </row>
    <row r="99" spans="1:9">
      <c r="A99" s="5">
        <v>10098</v>
      </c>
      <c r="B99" s="6">
        <v>45389</v>
      </c>
      <c r="C99" s="7" t="s">
        <v>13</v>
      </c>
      <c r="D99" s="7" t="s">
        <v>118</v>
      </c>
      <c r="E99" s="5">
        <v>1</v>
      </c>
      <c r="F99" s="8">
        <v>349.99</v>
      </c>
      <c r="G99" s="8">
        <v>349.99</v>
      </c>
      <c r="H99" s="7" t="s">
        <v>15</v>
      </c>
      <c r="I99" s="7" t="s">
        <v>16</v>
      </c>
    </row>
    <row r="100" spans="1:9">
      <c r="A100" s="5">
        <v>10099</v>
      </c>
      <c r="B100" s="6">
        <v>45390</v>
      </c>
      <c r="C100" s="7" t="s">
        <v>17</v>
      </c>
      <c r="D100" s="7" t="s">
        <v>119</v>
      </c>
      <c r="E100" s="5">
        <v>6</v>
      </c>
      <c r="F100" s="8">
        <v>19.989999999999998</v>
      </c>
      <c r="G100" s="8">
        <v>119.94</v>
      </c>
      <c r="H100" s="7" t="s">
        <v>19</v>
      </c>
      <c r="I100" s="7" t="s">
        <v>20</v>
      </c>
    </row>
    <row r="101" spans="1:9">
      <c r="A101" s="5">
        <v>10100</v>
      </c>
      <c r="B101" s="6">
        <v>45391</v>
      </c>
      <c r="C101" s="7" t="s">
        <v>21</v>
      </c>
      <c r="D101" s="7" t="s">
        <v>120</v>
      </c>
      <c r="E101" s="5">
        <v>2</v>
      </c>
      <c r="F101" s="8">
        <v>12.99</v>
      </c>
      <c r="G101" s="8">
        <v>25.98</v>
      </c>
      <c r="H101" s="7" t="s">
        <v>11</v>
      </c>
      <c r="I101" s="7" t="s">
        <v>12</v>
      </c>
    </row>
    <row r="102" spans="1:9">
      <c r="A102" s="5">
        <v>10101</v>
      </c>
      <c r="B102" s="6">
        <v>45392</v>
      </c>
      <c r="C102" s="7" t="s">
        <v>23</v>
      </c>
      <c r="D102" s="7" t="s">
        <v>121</v>
      </c>
      <c r="E102" s="5">
        <v>1</v>
      </c>
      <c r="F102" s="8">
        <v>82</v>
      </c>
      <c r="G102" s="8">
        <v>82</v>
      </c>
      <c r="H102" s="7" t="s">
        <v>15</v>
      </c>
      <c r="I102" s="7" t="s">
        <v>16</v>
      </c>
    </row>
    <row r="103" spans="1:9">
      <c r="A103" s="5">
        <v>10102</v>
      </c>
      <c r="B103" s="6">
        <v>45393</v>
      </c>
      <c r="C103" s="7" t="s">
        <v>25</v>
      </c>
      <c r="D103" s="7" t="s">
        <v>122</v>
      </c>
      <c r="E103" s="5">
        <v>2</v>
      </c>
      <c r="F103" s="8">
        <v>109.99</v>
      </c>
      <c r="G103" s="8">
        <v>219.98</v>
      </c>
      <c r="H103" s="7" t="s">
        <v>19</v>
      </c>
      <c r="I103" s="7" t="s">
        <v>12</v>
      </c>
    </row>
    <row r="104" spans="1:9">
      <c r="A104" s="5">
        <v>10103</v>
      </c>
      <c r="B104" s="6">
        <v>45394</v>
      </c>
      <c r="C104" s="7" t="s">
        <v>9</v>
      </c>
      <c r="D104" s="7" t="s">
        <v>123</v>
      </c>
      <c r="E104" s="5">
        <v>1</v>
      </c>
      <c r="F104" s="8">
        <v>3899.99</v>
      </c>
      <c r="G104" s="8">
        <v>3899.99</v>
      </c>
      <c r="H104" s="7" t="s">
        <v>11</v>
      </c>
      <c r="I104" s="7" t="s">
        <v>12</v>
      </c>
    </row>
    <row r="105" spans="1:9">
      <c r="A105" s="5">
        <v>10104</v>
      </c>
      <c r="B105" s="6">
        <v>45395</v>
      </c>
      <c r="C105" s="7" t="s">
        <v>13</v>
      </c>
      <c r="D105" s="7" t="s">
        <v>124</v>
      </c>
      <c r="E105" s="5">
        <v>2</v>
      </c>
      <c r="F105" s="8">
        <v>349.99</v>
      </c>
      <c r="G105" s="8">
        <v>699.98</v>
      </c>
      <c r="H105" s="7" t="s">
        <v>15</v>
      </c>
      <c r="I105" s="7" t="s">
        <v>16</v>
      </c>
    </row>
    <row r="106" spans="1:9">
      <c r="A106" s="5">
        <v>10105</v>
      </c>
      <c r="B106" s="6">
        <v>45396</v>
      </c>
      <c r="C106" s="7" t="s">
        <v>17</v>
      </c>
      <c r="D106" s="7" t="s">
        <v>125</v>
      </c>
      <c r="E106" s="5">
        <v>3</v>
      </c>
      <c r="F106" s="8">
        <v>39.99</v>
      </c>
      <c r="G106" s="8">
        <v>119.97</v>
      </c>
      <c r="H106" s="7" t="s">
        <v>19</v>
      </c>
      <c r="I106" s="7" t="s">
        <v>20</v>
      </c>
    </row>
    <row r="107" spans="1:9">
      <c r="A107" s="5">
        <v>10106</v>
      </c>
      <c r="B107" s="6">
        <v>45397</v>
      </c>
      <c r="C107" s="7" t="s">
        <v>21</v>
      </c>
      <c r="D107" s="7" t="s">
        <v>126</v>
      </c>
      <c r="E107" s="5">
        <v>4</v>
      </c>
      <c r="F107" s="8">
        <v>10.99</v>
      </c>
      <c r="G107" s="8">
        <v>43.96</v>
      </c>
      <c r="H107" s="7" t="s">
        <v>11</v>
      </c>
      <c r="I107" s="7" t="s">
        <v>12</v>
      </c>
    </row>
    <row r="108" spans="1:9">
      <c r="A108" s="5">
        <v>10107</v>
      </c>
      <c r="B108" s="6">
        <v>45398</v>
      </c>
      <c r="C108" s="7" t="s">
        <v>23</v>
      </c>
      <c r="D108" s="7" t="s">
        <v>127</v>
      </c>
      <c r="E108" s="5">
        <v>1</v>
      </c>
      <c r="F108" s="8">
        <v>6.5</v>
      </c>
      <c r="G108" s="8">
        <v>6.5</v>
      </c>
      <c r="H108" s="7" t="s">
        <v>15</v>
      </c>
      <c r="I108" s="7" t="s">
        <v>16</v>
      </c>
    </row>
    <row r="109" spans="1:9">
      <c r="A109" s="5">
        <v>10108</v>
      </c>
      <c r="B109" s="6">
        <v>45399</v>
      </c>
      <c r="C109" s="7" t="s">
        <v>25</v>
      </c>
      <c r="D109" s="7" t="s">
        <v>128</v>
      </c>
      <c r="E109" s="5">
        <v>1</v>
      </c>
      <c r="F109" s="8">
        <v>399.99</v>
      </c>
      <c r="G109" s="8">
        <v>399.99</v>
      </c>
      <c r="H109" s="7" t="s">
        <v>19</v>
      </c>
      <c r="I109" s="7" t="s">
        <v>12</v>
      </c>
    </row>
    <row r="110" spans="1:9">
      <c r="A110" s="5">
        <v>10109</v>
      </c>
      <c r="B110" s="6">
        <v>45400</v>
      </c>
      <c r="C110" s="7" t="s">
        <v>9</v>
      </c>
      <c r="D110" s="7" t="s">
        <v>129</v>
      </c>
      <c r="E110" s="5">
        <v>2</v>
      </c>
      <c r="F110" s="8">
        <v>229.99</v>
      </c>
      <c r="G110" s="8">
        <v>459.98</v>
      </c>
      <c r="H110" s="7" t="s">
        <v>11</v>
      </c>
      <c r="I110" s="7" t="s">
        <v>12</v>
      </c>
    </row>
    <row r="111" spans="1:9">
      <c r="A111" s="5">
        <v>10110</v>
      </c>
      <c r="B111" s="6">
        <v>45401</v>
      </c>
      <c r="C111" s="7" t="s">
        <v>13</v>
      </c>
      <c r="D111" s="7" t="s">
        <v>130</v>
      </c>
      <c r="E111" s="5">
        <v>1</v>
      </c>
      <c r="F111" s="8">
        <v>159.99</v>
      </c>
      <c r="G111" s="8">
        <v>159.99</v>
      </c>
      <c r="H111" s="7" t="s">
        <v>15</v>
      </c>
      <c r="I111" s="7" t="s">
        <v>16</v>
      </c>
    </row>
    <row r="112" spans="1:9">
      <c r="A112" s="5">
        <v>10111</v>
      </c>
      <c r="B112" s="6">
        <v>45402</v>
      </c>
      <c r="C112" s="7" t="s">
        <v>17</v>
      </c>
      <c r="D112" s="7" t="s">
        <v>131</v>
      </c>
      <c r="E112" s="5">
        <v>4</v>
      </c>
      <c r="F112" s="8">
        <v>14.99</v>
      </c>
      <c r="G112" s="8">
        <v>59.96</v>
      </c>
      <c r="H112" s="7" t="s">
        <v>19</v>
      </c>
      <c r="I112" s="7" t="s">
        <v>20</v>
      </c>
    </row>
    <row r="113" spans="1:9">
      <c r="A113" s="5">
        <v>10112</v>
      </c>
      <c r="B113" s="6">
        <v>45403</v>
      </c>
      <c r="C113" s="7" t="s">
        <v>21</v>
      </c>
      <c r="D113" s="7" t="s">
        <v>132</v>
      </c>
      <c r="E113" s="5">
        <v>2</v>
      </c>
      <c r="F113" s="8">
        <v>18.989999999999998</v>
      </c>
      <c r="G113" s="8">
        <v>37.979999999999997</v>
      </c>
      <c r="H113" s="7" t="s">
        <v>11</v>
      </c>
      <c r="I113" s="7" t="s">
        <v>12</v>
      </c>
    </row>
    <row r="114" spans="1:9">
      <c r="A114" s="5">
        <v>10113</v>
      </c>
      <c r="B114" s="6">
        <v>45404</v>
      </c>
      <c r="C114" s="7" t="s">
        <v>23</v>
      </c>
      <c r="D114" s="7" t="s">
        <v>133</v>
      </c>
      <c r="E114" s="5">
        <v>1</v>
      </c>
      <c r="F114" s="8">
        <v>15</v>
      </c>
      <c r="G114" s="8">
        <v>15</v>
      </c>
      <c r="H114" s="7" t="s">
        <v>15</v>
      </c>
      <c r="I114" s="7" t="s">
        <v>16</v>
      </c>
    </row>
    <row r="115" spans="1:9">
      <c r="A115" s="5">
        <v>10114</v>
      </c>
      <c r="B115" s="6">
        <v>45405</v>
      </c>
      <c r="C115" s="7" t="s">
        <v>25</v>
      </c>
      <c r="D115" s="7" t="s">
        <v>134</v>
      </c>
      <c r="E115" s="5">
        <v>3</v>
      </c>
      <c r="F115" s="8">
        <v>229.95</v>
      </c>
      <c r="G115" s="8">
        <v>689.85</v>
      </c>
      <c r="H115" s="7" t="s">
        <v>19</v>
      </c>
      <c r="I115" s="7" t="s">
        <v>12</v>
      </c>
    </row>
    <row r="116" spans="1:9">
      <c r="A116" s="5">
        <v>10115</v>
      </c>
      <c r="B116" s="6">
        <v>45406</v>
      </c>
      <c r="C116" s="7" t="s">
        <v>9</v>
      </c>
      <c r="D116" s="7" t="s">
        <v>135</v>
      </c>
      <c r="E116" s="5">
        <v>1</v>
      </c>
      <c r="F116" s="8">
        <v>249.99</v>
      </c>
      <c r="G116" s="8">
        <v>249.99</v>
      </c>
      <c r="H116" s="7" t="s">
        <v>11</v>
      </c>
      <c r="I116" s="7" t="s">
        <v>12</v>
      </c>
    </row>
    <row r="117" spans="1:9">
      <c r="A117" s="5">
        <v>10116</v>
      </c>
      <c r="B117" s="6">
        <v>45407</v>
      </c>
      <c r="C117" s="7" t="s">
        <v>13</v>
      </c>
      <c r="D117" s="7" t="s">
        <v>136</v>
      </c>
      <c r="E117" s="5">
        <v>2</v>
      </c>
      <c r="F117" s="8">
        <v>299.95</v>
      </c>
      <c r="G117" s="8">
        <v>599.9</v>
      </c>
      <c r="H117" s="7" t="s">
        <v>15</v>
      </c>
      <c r="I117" s="7" t="s">
        <v>16</v>
      </c>
    </row>
    <row r="118" spans="1:9">
      <c r="A118" s="5">
        <v>10117</v>
      </c>
      <c r="B118" s="6">
        <v>45408</v>
      </c>
      <c r="C118" s="7" t="s">
        <v>17</v>
      </c>
      <c r="D118" s="7" t="s">
        <v>137</v>
      </c>
      <c r="E118" s="5">
        <v>3</v>
      </c>
      <c r="F118" s="8">
        <v>49.99</v>
      </c>
      <c r="G118" s="8">
        <v>149.97</v>
      </c>
      <c r="H118" s="7" t="s">
        <v>19</v>
      </c>
      <c r="I118" s="7" t="s">
        <v>20</v>
      </c>
    </row>
    <row r="119" spans="1:9">
      <c r="A119" s="5">
        <v>10118</v>
      </c>
      <c r="B119" s="6">
        <v>45409</v>
      </c>
      <c r="C119" s="7" t="s">
        <v>21</v>
      </c>
      <c r="D119" s="7" t="s">
        <v>138</v>
      </c>
      <c r="E119" s="5">
        <v>4</v>
      </c>
      <c r="F119" s="8">
        <v>16.989999999999998</v>
      </c>
      <c r="G119" s="8">
        <v>67.959999999999994</v>
      </c>
      <c r="H119" s="7" t="s">
        <v>11</v>
      </c>
      <c r="I119" s="7" t="s">
        <v>12</v>
      </c>
    </row>
    <row r="120" spans="1:9">
      <c r="A120" s="5">
        <v>10119</v>
      </c>
      <c r="B120" s="6">
        <v>45410</v>
      </c>
      <c r="C120" s="7" t="s">
        <v>23</v>
      </c>
      <c r="D120" s="7" t="s">
        <v>139</v>
      </c>
      <c r="E120" s="5">
        <v>2</v>
      </c>
      <c r="F120" s="8">
        <v>14.99</v>
      </c>
      <c r="G120" s="8">
        <v>29.98</v>
      </c>
      <c r="H120" s="7" t="s">
        <v>15</v>
      </c>
      <c r="I120" s="7" t="s">
        <v>16</v>
      </c>
    </row>
    <row r="121" spans="1:9">
      <c r="A121" s="5">
        <v>10120</v>
      </c>
      <c r="B121" s="6">
        <v>45411</v>
      </c>
      <c r="C121" s="7" t="s">
        <v>25</v>
      </c>
      <c r="D121" s="7" t="s">
        <v>140</v>
      </c>
      <c r="E121" s="5">
        <v>1</v>
      </c>
      <c r="F121" s="8">
        <v>249.99</v>
      </c>
      <c r="G121" s="8">
        <v>249.99</v>
      </c>
      <c r="H121" s="7" t="s">
        <v>19</v>
      </c>
      <c r="I121" s="7" t="s">
        <v>12</v>
      </c>
    </row>
    <row r="122" spans="1:9">
      <c r="A122" s="5">
        <v>10121</v>
      </c>
      <c r="B122" s="6">
        <v>45412</v>
      </c>
      <c r="C122" s="7" t="s">
        <v>9</v>
      </c>
      <c r="D122" s="7" t="s">
        <v>141</v>
      </c>
      <c r="E122" s="5">
        <v>2</v>
      </c>
      <c r="F122" s="8">
        <v>599.99</v>
      </c>
      <c r="G122" s="8">
        <v>1199.98</v>
      </c>
      <c r="H122" s="7" t="s">
        <v>11</v>
      </c>
      <c r="I122" s="7" t="s">
        <v>12</v>
      </c>
    </row>
    <row r="123" spans="1:9">
      <c r="A123" s="5">
        <v>10122</v>
      </c>
      <c r="B123" s="6">
        <v>45413</v>
      </c>
      <c r="C123" s="7" t="s">
        <v>13</v>
      </c>
      <c r="D123" s="7" t="s">
        <v>142</v>
      </c>
      <c r="E123" s="5">
        <v>1</v>
      </c>
      <c r="F123" s="8">
        <v>89.99</v>
      </c>
      <c r="G123" s="8">
        <v>89.99</v>
      </c>
      <c r="H123" s="7" t="s">
        <v>15</v>
      </c>
      <c r="I123" s="7" t="s">
        <v>16</v>
      </c>
    </row>
    <row r="124" spans="1:9">
      <c r="A124" s="5">
        <v>10123</v>
      </c>
      <c r="B124" s="6">
        <v>45414</v>
      </c>
      <c r="C124" s="7" t="s">
        <v>17</v>
      </c>
      <c r="D124" s="7" t="s">
        <v>143</v>
      </c>
      <c r="E124" s="5">
        <v>5</v>
      </c>
      <c r="F124" s="8">
        <v>12.99</v>
      </c>
      <c r="G124" s="8">
        <v>64.95</v>
      </c>
      <c r="H124" s="7" t="s">
        <v>19</v>
      </c>
      <c r="I124" s="7" t="s">
        <v>20</v>
      </c>
    </row>
    <row r="125" spans="1:9">
      <c r="A125" s="5">
        <v>10124</v>
      </c>
      <c r="B125" s="6">
        <v>45415</v>
      </c>
      <c r="C125" s="7" t="s">
        <v>21</v>
      </c>
      <c r="D125" s="7" t="s">
        <v>144</v>
      </c>
      <c r="E125" s="5">
        <v>3</v>
      </c>
      <c r="F125" s="8">
        <v>14.99</v>
      </c>
      <c r="G125" s="8">
        <v>44.97</v>
      </c>
      <c r="H125" s="7" t="s">
        <v>11</v>
      </c>
      <c r="I125" s="7" t="s">
        <v>12</v>
      </c>
    </row>
    <row r="126" spans="1:9">
      <c r="A126" s="5">
        <v>10125</v>
      </c>
      <c r="B126" s="6">
        <v>45416</v>
      </c>
      <c r="C126" s="7" t="s">
        <v>23</v>
      </c>
      <c r="D126" s="7" t="s">
        <v>145</v>
      </c>
      <c r="E126" s="5">
        <v>1</v>
      </c>
      <c r="F126" s="8">
        <v>30</v>
      </c>
      <c r="G126" s="8">
        <v>30</v>
      </c>
      <c r="H126" s="7" t="s">
        <v>15</v>
      </c>
      <c r="I126" s="7" t="s">
        <v>16</v>
      </c>
    </row>
    <row r="127" spans="1:9">
      <c r="A127" s="5">
        <v>10126</v>
      </c>
      <c r="B127" s="6">
        <v>45417</v>
      </c>
      <c r="C127" s="7" t="s">
        <v>25</v>
      </c>
      <c r="D127" s="7" t="s">
        <v>146</v>
      </c>
      <c r="E127" s="5">
        <v>1</v>
      </c>
      <c r="F127" s="8">
        <v>199.99</v>
      </c>
      <c r="G127" s="8">
        <v>199.99</v>
      </c>
      <c r="H127" s="7" t="s">
        <v>19</v>
      </c>
      <c r="I127" s="7" t="s">
        <v>12</v>
      </c>
    </row>
    <row r="128" spans="1:9">
      <c r="A128" s="5">
        <v>10127</v>
      </c>
      <c r="B128" s="6">
        <v>45418</v>
      </c>
      <c r="C128" s="7" t="s">
        <v>9</v>
      </c>
      <c r="D128" s="7" t="s">
        <v>147</v>
      </c>
      <c r="E128" s="5">
        <v>1</v>
      </c>
      <c r="F128" s="8">
        <v>499.99</v>
      </c>
      <c r="G128" s="8">
        <v>499.99</v>
      </c>
      <c r="H128" s="7" t="s">
        <v>11</v>
      </c>
      <c r="I128" s="7" t="s">
        <v>12</v>
      </c>
    </row>
    <row r="129" spans="1:9">
      <c r="A129" s="5">
        <v>10128</v>
      </c>
      <c r="B129" s="6">
        <v>45419</v>
      </c>
      <c r="C129" s="7" t="s">
        <v>13</v>
      </c>
      <c r="D129" s="7" t="s">
        <v>37</v>
      </c>
      <c r="E129" s="5">
        <v>2</v>
      </c>
      <c r="F129" s="8">
        <v>399.99</v>
      </c>
      <c r="G129" s="8">
        <v>799.98</v>
      </c>
      <c r="H129" s="7" t="s">
        <v>15</v>
      </c>
      <c r="I129" s="7" t="s">
        <v>16</v>
      </c>
    </row>
    <row r="130" spans="1:9">
      <c r="A130" s="5">
        <v>10129</v>
      </c>
      <c r="B130" s="6">
        <v>45420</v>
      </c>
      <c r="C130" s="7" t="s">
        <v>17</v>
      </c>
      <c r="D130" s="7" t="s">
        <v>148</v>
      </c>
      <c r="E130" s="5">
        <v>3</v>
      </c>
      <c r="F130" s="8">
        <v>98</v>
      </c>
      <c r="G130" s="8">
        <v>294</v>
      </c>
      <c r="H130" s="7" t="s">
        <v>19</v>
      </c>
      <c r="I130" s="7" t="s">
        <v>20</v>
      </c>
    </row>
    <row r="131" spans="1:9">
      <c r="A131" s="5">
        <v>10130</v>
      </c>
      <c r="B131" s="6">
        <v>45421</v>
      </c>
      <c r="C131" s="7" t="s">
        <v>21</v>
      </c>
      <c r="D131" s="7" t="s">
        <v>149</v>
      </c>
      <c r="E131" s="5">
        <v>2</v>
      </c>
      <c r="F131" s="8">
        <v>8.99</v>
      </c>
      <c r="G131" s="8">
        <v>17.98</v>
      </c>
      <c r="H131" s="7" t="s">
        <v>11</v>
      </c>
      <c r="I131" s="7" t="s">
        <v>12</v>
      </c>
    </row>
    <row r="132" spans="1:9">
      <c r="A132" s="5">
        <v>10131</v>
      </c>
      <c r="B132" s="6">
        <v>45422</v>
      </c>
      <c r="C132" s="7" t="s">
        <v>23</v>
      </c>
      <c r="D132" s="7" t="s">
        <v>150</v>
      </c>
      <c r="E132" s="5">
        <v>1</v>
      </c>
      <c r="F132" s="8">
        <v>36</v>
      </c>
      <c r="G132" s="8">
        <v>36</v>
      </c>
      <c r="H132" s="7" t="s">
        <v>15</v>
      </c>
      <c r="I132" s="7" t="s">
        <v>16</v>
      </c>
    </row>
    <row r="133" spans="1:9">
      <c r="A133" s="5">
        <v>10132</v>
      </c>
      <c r="B133" s="6">
        <v>45423</v>
      </c>
      <c r="C133" s="7" t="s">
        <v>25</v>
      </c>
      <c r="D133" s="7" t="s">
        <v>151</v>
      </c>
      <c r="E133" s="5">
        <v>4</v>
      </c>
      <c r="F133" s="8">
        <v>39.950000000000003</v>
      </c>
      <c r="G133" s="8">
        <v>159.80000000000001</v>
      </c>
      <c r="H133" s="7" t="s">
        <v>19</v>
      </c>
      <c r="I133" s="7" t="s">
        <v>12</v>
      </c>
    </row>
    <row r="134" spans="1:9">
      <c r="A134" s="5">
        <v>10133</v>
      </c>
      <c r="B134" s="6">
        <v>45424</v>
      </c>
      <c r="C134" s="7" t="s">
        <v>9</v>
      </c>
      <c r="D134" s="7" t="s">
        <v>152</v>
      </c>
      <c r="E134" s="5">
        <v>1</v>
      </c>
      <c r="F134" s="8">
        <v>1299.99</v>
      </c>
      <c r="G134" s="8">
        <v>1299.99</v>
      </c>
      <c r="H134" s="7" t="s">
        <v>11</v>
      </c>
      <c r="I134" s="7" t="s">
        <v>12</v>
      </c>
    </row>
    <row r="135" spans="1:9">
      <c r="A135" s="5">
        <v>10134</v>
      </c>
      <c r="B135" s="6">
        <v>45425</v>
      </c>
      <c r="C135" s="7" t="s">
        <v>13</v>
      </c>
      <c r="D135" s="7" t="s">
        <v>153</v>
      </c>
      <c r="E135" s="5">
        <v>2</v>
      </c>
      <c r="F135" s="8">
        <v>79.989999999999995</v>
      </c>
      <c r="G135" s="8">
        <v>159.97999999999999</v>
      </c>
      <c r="H135" s="7" t="s">
        <v>15</v>
      </c>
      <c r="I135" s="7" t="s">
        <v>16</v>
      </c>
    </row>
    <row r="136" spans="1:9">
      <c r="A136" s="5">
        <v>10135</v>
      </c>
      <c r="B136" s="6">
        <v>45426</v>
      </c>
      <c r="C136" s="7" t="s">
        <v>17</v>
      </c>
      <c r="D136" s="7" t="s">
        <v>154</v>
      </c>
      <c r="E136" s="5">
        <v>4</v>
      </c>
      <c r="F136" s="8">
        <v>34.99</v>
      </c>
      <c r="G136" s="8">
        <v>139.96</v>
      </c>
      <c r="H136" s="7" t="s">
        <v>19</v>
      </c>
      <c r="I136" s="7" t="s">
        <v>20</v>
      </c>
    </row>
    <row r="137" spans="1:9">
      <c r="A137" s="5">
        <v>10136</v>
      </c>
      <c r="B137" s="6">
        <v>45427</v>
      </c>
      <c r="C137" s="7" t="s">
        <v>21</v>
      </c>
      <c r="D137" s="7" t="s">
        <v>155</v>
      </c>
      <c r="E137" s="5">
        <v>3</v>
      </c>
      <c r="F137" s="8">
        <v>9.99</v>
      </c>
      <c r="G137" s="8">
        <v>29.97</v>
      </c>
      <c r="H137" s="7" t="s">
        <v>11</v>
      </c>
      <c r="I137" s="7" t="s">
        <v>12</v>
      </c>
    </row>
    <row r="138" spans="1:9">
      <c r="A138" s="5">
        <v>10137</v>
      </c>
      <c r="B138" s="6">
        <v>45428</v>
      </c>
      <c r="C138" s="7" t="s">
        <v>23</v>
      </c>
      <c r="D138" s="7" t="s">
        <v>156</v>
      </c>
      <c r="E138" s="5">
        <v>1</v>
      </c>
      <c r="F138" s="8">
        <v>6.8</v>
      </c>
      <c r="G138" s="8">
        <v>6.8</v>
      </c>
      <c r="H138" s="7" t="s">
        <v>15</v>
      </c>
      <c r="I138" s="7" t="s">
        <v>16</v>
      </c>
    </row>
    <row r="139" spans="1:9">
      <c r="A139" s="5">
        <v>10138</v>
      </c>
      <c r="B139" s="6">
        <v>45429</v>
      </c>
      <c r="C139" s="7" t="s">
        <v>25</v>
      </c>
      <c r="D139" s="7" t="s">
        <v>157</v>
      </c>
      <c r="E139" s="5">
        <v>2</v>
      </c>
      <c r="F139" s="8">
        <v>99.95</v>
      </c>
      <c r="G139" s="8">
        <v>199.9</v>
      </c>
      <c r="H139" s="7" t="s">
        <v>19</v>
      </c>
      <c r="I139" s="7" t="s">
        <v>12</v>
      </c>
    </row>
    <row r="140" spans="1:9">
      <c r="A140" s="5">
        <v>10139</v>
      </c>
      <c r="B140" s="6">
        <v>45430</v>
      </c>
      <c r="C140" s="7" t="s">
        <v>9</v>
      </c>
      <c r="D140" s="7" t="s">
        <v>158</v>
      </c>
      <c r="E140" s="5">
        <v>1</v>
      </c>
      <c r="F140" s="8">
        <v>1499.99</v>
      </c>
      <c r="G140" s="8">
        <v>1499.99</v>
      </c>
      <c r="H140" s="7" t="s">
        <v>11</v>
      </c>
      <c r="I140" s="7" t="s">
        <v>12</v>
      </c>
    </row>
    <row r="141" spans="1:9">
      <c r="A141" s="5">
        <v>10140</v>
      </c>
      <c r="B141" s="6">
        <v>45431</v>
      </c>
      <c r="C141" s="7" t="s">
        <v>13</v>
      </c>
      <c r="D141" s="7" t="s">
        <v>159</v>
      </c>
      <c r="E141" s="5">
        <v>1</v>
      </c>
      <c r="F141" s="8">
        <v>139.99</v>
      </c>
      <c r="G141" s="8">
        <v>139.99</v>
      </c>
      <c r="H141" s="7" t="s">
        <v>15</v>
      </c>
      <c r="I141" s="7" t="s">
        <v>16</v>
      </c>
    </row>
    <row r="142" spans="1:9">
      <c r="A142" s="5">
        <v>10141</v>
      </c>
      <c r="B142" s="6">
        <v>45432</v>
      </c>
      <c r="C142" s="7" t="s">
        <v>17</v>
      </c>
      <c r="D142" s="7" t="s">
        <v>160</v>
      </c>
      <c r="E142" s="5">
        <v>3</v>
      </c>
      <c r="F142" s="8">
        <v>44.99</v>
      </c>
      <c r="G142" s="8">
        <v>134.97</v>
      </c>
      <c r="H142" s="7" t="s">
        <v>19</v>
      </c>
      <c r="I142" s="7" t="s">
        <v>20</v>
      </c>
    </row>
    <row r="143" spans="1:9">
      <c r="A143" s="5">
        <v>10142</v>
      </c>
      <c r="B143" s="6">
        <v>45433</v>
      </c>
      <c r="C143" s="7" t="s">
        <v>21</v>
      </c>
      <c r="D143" s="7" t="s">
        <v>161</v>
      </c>
      <c r="E143" s="5">
        <v>2</v>
      </c>
      <c r="F143" s="8">
        <v>11.99</v>
      </c>
      <c r="G143" s="8">
        <v>23.98</v>
      </c>
      <c r="H143" s="7" t="s">
        <v>11</v>
      </c>
      <c r="I143" s="7" t="s">
        <v>12</v>
      </c>
    </row>
    <row r="144" spans="1:9">
      <c r="A144" s="5">
        <v>10143</v>
      </c>
      <c r="B144" s="6">
        <v>45434</v>
      </c>
      <c r="C144" s="7" t="s">
        <v>23</v>
      </c>
      <c r="D144" s="7" t="s">
        <v>162</v>
      </c>
      <c r="E144" s="5">
        <v>1</v>
      </c>
      <c r="F144" s="8">
        <v>29.5</v>
      </c>
      <c r="G144" s="8">
        <v>29.5</v>
      </c>
      <c r="H144" s="7" t="s">
        <v>15</v>
      </c>
      <c r="I144" s="7" t="s">
        <v>16</v>
      </c>
    </row>
    <row r="145" spans="1:9">
      <c r="A145" s="5">
        <v>10144</v>
      </c>
      <c r="B145" s="6">
        <v>45435</v>
      </c>
      <c r="C145" s="7" t="s">
        <v>25</v>
      </c>
      <c r="D145" s="7" t="s">
        <v>163</v>
      </c>
      <c r="E145" s="5">
        <v>1</v>
      </c>
      <c r="F145" s="8">
        <v>299.99</v>
      </c>
      <c r="G145" s="8">
        <v>299.99</v>
      </c>
      <c r="H145" s="7" t="s">
        <v>19</v>
      </c>
      <c r="I145" s="7" t="s">
        <v>12</v>
      </c>
    </row>
    <row r="146" spans="1:9">
      <c r="A146" s="5">
        <v>10145</v>
      </c>
      <c r="B146" s="6">
        <v>45436</v>
      </c>
      <c r="C146" s="7" t="s">
        <v>9</v>
      </c>
      <c r="D146" s="7" t="s">
        <v>164</v>
      </c>
      <c r="E146" s="5">
        <v>1</v>
      </c>
      <c r="F146" s="8">
        <v>549</v>
      </c>
      <c r="G146" s="8">
        <v>549</v>
      </c>
      <c r="H146" s="7" t="s">
        <v>11</v>
      </c>
      <c r="I146" s="7" t="s">
        <v>12</v>
      </c>
    </row>
    <row r="147" spans="1:9">
      <c r="A147" s="5">
        <v>10146</v>
      </c>
      <c r="B147" s="6">
        <v>45437</v>
      </c>
      <c r="C147" s="7" t="s">
        <v>13</v>
      </c>
      <c r="D147" s="7" t="s">
        <v>165</v>
      </c>
      <c r="E147" s="5">
        <v>2</v>
      </c>
      <c r="F147" s="8">
        <v>199.95</v>
      </c>
      <c r="G147" s="8">
        <v>399.9</v>
      </c>
      <c r="H147" s="7" t="s">
        <v>15</v>
      </c>
      <c r="I147" s="7" t="s">
        <v>16</v>
      </c>
    </row>
    <row r="148" spans="1:9">
      <c r="A148" s="5">
        <v>10147</v>
      </c>
      <c r="B148" s="6">
        <v>45438</v>
      </c>
      <c r="C148" s="7" t="s">
        <v>17</v>
      </c>
      <c r="D148" s="7" t="s">
        <v>166</v>
      </c>
      <c r="E148" s="5">
        <v>2</v>
      </c>
      <c r="F148" s="8">
        <v>98</v>
      </c>
      <c r="G148" s="8">
        <v>196</v>
      </c>
      <c r="H148" s="7" t="s">
        <v>19</v>
      </c>
      <c r="I148" s="7" t="s">
        <v>20</v>
      </c>
    </row>
    <row r="149" spans="1:9">
      <c r="A149" s="5">
        <v>10148</v>
      </c>
      <c r="B149" s="6">
        <v>45439</v>
      </c>
      <c r="C149" s="7" t="s">
        <v>21</v>
      </c>
      <c r="D149" s="7" t="s">
        <v>167</v>
      </c>
      <c r="E149" s="5">
        <v>3</v>
      </c>
      <c r="F149" s="8">
        <v>10.99</v>
      </c>
      <c r="G149" s="8">
        <v>32.97</v>
      </c>
      <c r="H149" s="7" t="s">
        <v>11</v>
      </c>
      <c r="I149" s="7" t="s">
        <v>12</v>
      </c>
    </row>
    <row r="150" spans="1:9">
      <c r="A150" s="5">
        <v>10149</v>
      </c>
      <c r="B150" s="6">
        <v>45440</v>
      </c>
      <c r="C150" s="7" t="s">
        <v>23</v>
      </c>
      <c r="D150" s="7" t="s">
        <v>168</v>
      </c>
      <c r="E150" s="5">
        <v>1</v>
      </c>
      <c r="F150" s="8">
        <v>25</v>
      </c>
      <c r="G150" s="8">
        <v>25</v>
      </c>
      <c r="H150" s="7" t="s">
        <v>15</v>
      </c>
      <c r="I150" s="7" t="s">
        <v>16</v>
      </c>
    </row>
    <row r="151" spans="1:9">
      <c r="A151" s="5">
        <v>10150</v>
      </c>
      <c r="B151" s="6">
        <v>45441</v>
      </c>
      <c r="C151" s="7" t="s">
        <v>25</v>
      </c>
      <c r="D151" s="7" t="s">
        <v>169</v>
      </c>
      <c r="E151" s="5">
        <v>2</v>
      </c>
      <c r="F151" s="8">
        <v>149.99</v>
      </c>
      <c r="G151" s="8">
        <v>299.98</v>
      </c>
      <c r="H151" s="7" t="s">
        <v>19</v>
      </c>
      <c r="I151" s="7" t="s">
        <v>12</v>
      </c>
    </row>
    <row r="152" spans="1:9">
      <c r="A152" s="5">
        <v>10151</v>
      </c>
      <c r="B152" s="6">
        <v>45442</v>
      </c>
      <c r="C152" s="7" t="s">
        <v>9</v>
      </c>
      <c r="D152" s="7" t="s">
        <v>51</v>
      </c>
      <c r="E152" s="5">
        <v>1</v>
      </c>
      <c r="F152" s="8">
        <v>349.99</v>
      </c>
      <c r="G152" s="8">
        <v>349.99</v>
      </c>
      <c r="H152" s="7" t="s">
        <v>11</v>
      </c>
      <c r="I152" s="7" t="s">
        <v>12</v>
      </c>
    </row>
    <row r="153" spans="1:9">
      <c r="A153" s="5">
        <v>10152</v>
      </c>
      <c r="B153" s="6">
        <v>45443</v>
      </c>
      <c r="C153" s="7" t="s">
        <v>13</v>
      </c>
      <c r="D153" s="7" t="s">
        <v>170</v>
      </c>
      <c r="E153" s="5">
        <v>2</v>
      </c>
      <c r="F153" s="8">
        <v>199.99</v>
      </c>
      <c r="G153" s="8">
        <v>399.98</v>
      </c>
      <c r="H153" s="7" t="s">
        <v>15</v>
      </c>
      <c r="I153" s="7" t="s">
        <v>16</v>
      </c>
    </row>
    <row r="154" spans="1:9">
      <c r="A154" s="5">
        <v>10153</v>
      </c>
      <c r="B154" s="6">
        <v>45444</v>
      </c>
      <c r="C154" s="7" t="s">
        <v>17</v>
      </c>
      <c r="D154" s="7" t="s">
        <v>171</v>
      </c>
      <c r="E154" s="5">
        <v>3</v>
      </c>
      <c r="F154" s="8">
        <v>54.99</v>
      </c>
      <c r="G154" s="8">
        <v>164.97</v>
      </c>
      <c r="H154" s="7" t="s">
        <v>19</v>
      </c>
      <c r="I154" s="7" t="s">
        <v>20</v>
      </c>
    </row>
    <row r="155" spans="1:9">
      <c r="A155" s="5">
        <v>10154</v>
      </c>
      <c r="B155" s="6">
        <v>45445</v>
      </c>
      <c r="C155" s="7" t="s">
        <v>21</v>
      </c>
      <c r="D155" s="7" t="s">
        <v>172</v>
      </c>
      <c r="E155" s="5">
        <v>2</v>
      </c>
      <c r="F155" s="8">
        <v>16.989999999999998</v>
      </c>
      <c r="G155" s="8">
        <v>33.979999999999997</v>
      </c>
      <c r="H155" s="7" t="s">
        <v>11</v>
      </c>
      <c r="I155" s="7" t="s">
        <v>12</v>
      </c>
    </row>
    <row r="156" spans="1:9">
      <c r="A156" s="5">
        <v>10155</v>
      </c>
      <c r="B156" s="6">
        <v>45446</v>
      </c>
      <c r="C156" s="7" t="s">
        <v>23</v>
      </c>
      <c r="D156" s="7" t="s">
        <v>173</v>
      </c>
      <c r="E156" s="5">
        <v>1</v>
      </c>
      <c r="F156" s="8">
        <v>59</v>
      </c>
      <c r="G156" s="8">
        <v>59</v>
      </c>
      <c r="H156" s="7" t="s">
        <v>15</v>
      </c>
      <c r="I156" s="7" t="s">
        <v>16</v>
      </c>
    </row>
    <row r="157" spans="1:9">
      <c r="A157" s="5">
        <v>10156</v>
      </c>
      <c r="B157" s="6">
        <v>45447</v>
      </c>
      <c r="C157" s="7" t="s">
        <v>25</v>
      </c>
      <c r="D157" s="7" t="s">
        <v>174</v>
      </c>
      <c r="E157" s="5">
        <v>1</v>
      </c>
      <c r="F157" s="8">
        <v>299.99</v>
      </c>
      <c r="G157" s="8">
        <v>299.99</v>
      </c>
      <c r="H157" s="7" t="s">
        <v>19</v>
      </c>
      <c r="I157" s="7" t="s">
        <v>12</v>
      </c>
    </row>
    <row r="158" spans="1:9">
      <c r="A158" s="5">
        <v>10157</v>
      </c>
      <c r="B158" s="6">
        <v>45448</v>
      </c>
      <c r="C158" s="7" t="s">
        <v>9</v>
      </c>
      <c r="D158" s="7" t="s">
        <v>175</v>
      </c>
      <c r="E158" s="5">
        <v>1</v>
      </c>
      <c r="F158" s="8">
        <v>899.99</v>
      </c>
      <c r="G158" s="8">
        <v>899.99</v>
      </c>
      <c r="H158" s="7" t="s">
        <v>11</v>
      </c>
      <c r="I158" s="7" t="s">
        <v>12</v>
      </c>
    </row>
    <row r="159" spans="1:9">
      <c r="A159" s="5">
        <v>10158</v>
      </c>
      <c r="B159" s="6">
        <v>45449</v>
      </c>
      <c r="C159" s="7" t="s">
        <v>13</v>
      </c>
      <c r="D159" s="7" t="s">
        <v>176</v>
      </c>
      <c r="E159" s="5">
        <v>1</v>
      </c>
      <c r="F159" s="8">
        <v>499.95</v>
      </c>
      <c r="G159" s="8">
        <v>499.95</v>
      </c>
      <c r="H159" s="7" t="s">
        <v>15</v>
      </c>
      <c r="I159" s="7" t="s">
        <v>16</v>
      </c>
    </row>
    <row r="160" spans="1:9">
      <c r="A160" s="5">
        <v>10159</v>
      </c>
      <c r="B160" s="6">
        <v>45450</v>
      </c>
      <c r="C160" s="7" t="s">
        <v>17</v>
      </c>
      <c r="D160" s="7" t="s">
        <v>177</v>
      </c>
      <c r="E160" s="5">
        <v>4</v>
      </c>
      <c r="F160" s="8">
        <v>24.99</v>
      </c>
      <c r="G160" s="8">
        <v>99.96</v>
      </c>
      <c r="H160" s="7" t="s">
        <v>19</v>
      </c>
      <c r="I160" s="7" t="s">
        <v>20</v>
      </c>
    </row>
    <row r="161" spans="1:9">
      <c r="A161" s="5">
        <v>10160</v>
      </c>
      <c r="B161" s="6">
        <v>45451</v>
      </c>
      <c r="C161" s="7" t="s">
        <v>21</v>
      </c>
      <c r="D161" s="7" t="s">
        <v>178</v>
      </c>
      <c r="E161" s="5">
        <v>3</v>
      </c>
      <c r="F161" s="8">
        <v>7.99</v>
      </c>
      <c r="G161" s="8">
        <v>23.97</v>
      </c>
      <c r="H161" s="7" t="s">
        <v>11</v>
      </c>
      <c r="I161" s="7" t="s">
        <v>12</v>
      </c>
    </row>
    <row r="162" spans="1:9">
      <c r="A162" s="5">
        <v>10161</v>
      </c>
      <c r="B162" s="6">
        <v>45452</v>
      </c>
      <c r="C162" s="7" t="s">
        <v>23</v>
      </c>
      <c r="D162" s="7" t="s">
        <v>179</v>
      </c>
      <c r="E162" s="5">
        <v>1</v>
      </c>
      <c r="F162" s="8">
        <v>36</v>
      </c>
      <c r="G162" s="8">
        <v>36</v>
      </c>
      <c r="H162" s="7" t="s">
        <v>15</v>
      </c>
      <c r="I162" s="7" t="s">
        <v>16</v>
      </c>
    </row>
    <row r="163" spans="1:9">
      <c r="A163" s="5">
        <v>10162</v>
      </c>
      <c r="B163" s="6">
        <v>45453</v>
      </c>
      <c r="C163" s="7" t="s">
        <v>25</v>
      </c>
      <c r="D163" s="7" t="s">
        <v>180</v>
      </c>
      <c r="E163" s="5">
        <v>2</v>
      </c>
      <c r="F163" s="8">
        <v>34.99</v>
      </c>
      <c r="G163" s="8">
        <v>69.98</v>
      </c>
      <c r="H163" s="7" t="s">
        <v>19</v>
      </c>
      <c r="I163" s="7" t="s">
        <v>12</v>
      </c>
    </row>
    <row r="164" spans="1:9">
      <c r="A164" s="5">
        <v>10163</v>
      </c>
      <c r="B164" s="6">
        <v>45454</v>
      </c>
      <c r="C164" s="7" t="s">
        <v>9</v>
      </c>
      <c r="D164" s="7" t="s">
        <v>181</v>
      </c>
      <c r="E164" s="5">
        <v>1</v>
      </c>
      <c r="F164" s="8">
        <v>1199.99</v>
      </c>
      <c r="G164" s="8">
        <v>1199.99</v>
      </c>
      <c r="H164" s="7" t="s">
        <v>11</v>
      </c>
      <c r="I164" s="7" t="s">
        <v>12</v>
      </c>
    </row>
    <row r="165" spans="1:9">
      <c r="A165" s="5">
        <v>10164</v>
      </c>
      <c r="B165" s="6">
        <v>45455</v>
      </c>
      <c r="C165" s="7" t="s">
        <v>13</v>
      </c>
      <c r="D165" s="7" t="s">
        <v>182</v>
      </c>
      <c r="E165" s="5">
        <v>1</v>
      </c>
      <c r="F165" s="8">
        <v>199.99</v>
      </c>
      <c r="G165" s="8">
        <v>199.99</v>
      </c>
      <c r="H165" s="7" t="s">
        <v>15</v>
      </c>
      <c r="I165" s="7" t="s">
        <v>16</v>
      </c>
    </row>
    <row r="166" spans="1:9">
      <c r="A166" s="5">
        <v>10165</v>
      </c>
      <c r="B166" s="6">
        <v>45456</v>
      </c>
      <c r="C166" s="7" t="s">
        <v>17</v>
      </c>
      <c r="D166" s="7" t="s">
        <v>183</v>
      </c>
      <c r="E166" s="5">
        <v>5</v>
      </c>
      <c r="F166" s="8">
        <v>29.99</v>
      </c>
      <c r="G166" s="8">
        <v>149.94999999999999</v>
      </c>
      <c r="H166" s="7" t="s">
        <v>19</v>
      </c>
      <c r="I166" s="7" t="s">
        <v>20</v>
      </c>
    </row>
    <row r="167" spans="1:9">
      <c r="A167" s="5">
        <v>10166</v>
      </c>
      <c r="B167" s="6">
        <v>45457</v>
      </c>
      <c r="C167" s="7" t="s">
        <v>21</v>
      </c>
      <c r="D167" s="7" t="s">
        <v>184</v>
      </c>
      <c r="E167" s="5">
        <v>4</v>
      </c>
      <c r="F167" s="8">
        <v>8.99</v>
      </c>
      <c r="G167" s="8">
        <v>35.96</v>
      </c>
      <c r="H167" s="7" t="s">
        <v>11</v>
      </c>
      <c r="I167" s="7" t="s">
        <v>12</v>
      </c>
    </row>
    <row r="168" spans="1:9">
      <c r="A168" s="5">
        <v>10167</v>
      </c>
      <c r="B168" s="6">
        <v>45458</v>
      </c>
      <c r="C168" s="7" t="s">
        <v>23</v>
      </c>
      <c r="D168" s="7" t="s">
        <v>185</v>
      </c>
      <c r="E168" s="5">
        <v>1</v>
      </c>
      <c r="F168" s="8">
        <v>16.989999999999998</v>
      </c>
      <c r="G168" s="8">
        <v>16.989999999999998</v>
      </c>
      <c r="H168" s="7" t="s">
        <v>15</v>
      </c>
      <c r="I168" s="7" t="s">
        <v>16</v>
      </c>
    </row>
    <row r="169" spans="1:9">
      <c r="A169" s="5">
        <v>10168</v>
      </c>
      <c r="B169" s="6">
        <v>45459</v>
      </c>
      <c r="C169" s="7" t="s">
        <v>25</v>
      </c>
      <c r="D169" s="7" t="s">
        <v>186</v>
      </c>
      <c r="E169" s="5">
        <v>3</v>
      </c>
      <c r="F169" s="8">
        <v>49.99</v>
      </c>
      <c r="G169" s="8">
        <v>149.97</v>
      </c>
      <c r="H169" s="7" t="s">
        <v>19</v>
      </c>
      <c r="I169" s="7" t="s">
        <v>12</v>
      </c>
    </row>
    <row r="170" spans="1:9">
      <c r="A170" s="5">
        <v>10169</v>
      </c>
      <c r="B170" s="6">
        <v>45460</v>
      </c>
      <c r="C170" s="7" t="s">
        <v>9</v>
      </c>
      <c r="D170" s="7" t="s">
        <v>187</v>
      </c>
      <c r="E170" s="5">
        <v>1</v>
      </c>
      <c r="F170" s="8">
        <v>699.99</v>
      </c>
      <c r="G170" s="8">
        <v>699.99</v>
      </c>
      <c r="H170" s="7" t="s">
        <v>11</v>
      </c>
      <c r="I170" s="7" t="s">
        <v>12</v>
      </c>
    </row>
    <row r="171" spans="1:9">
      <c r="A171" s="5">
        <v>10170</v>
      </c>
      <c r="B171" s="6">
        <v>45461</v>
      </c>
      <c r="C171" s="7" t="s">
        <v>13</v>
      </c>
      <c r="D171" s="7" t="s">
        <v>188</v>
      </c>
      <c r="E171" s="5">
        <v>2</v>
      </c>
      <c r="F171" s="8">
        <v>139.99</v>
      </c>
      <c r="G171" s="8">
        <v>279.98</v>
      </c>
      <c r="H171" s="7" t="s">
        <v>15</v>
      </c>
      <c r="I171" s="7" t="s">
        <v>16</v>
      </c>
    </row>
    <row r="172" spans="1:9">
      <c r="A172" s="5">
        <v>10171</v>
      </c>
      <c r="B172" s="6">
        <v>45462</v>
      </c>
      <c r="C172" s="7" t="s">
        <v>17</v>
      </c>
      <c r="D172" s="7" t="s">
        <v>189</v>
      </c>
      <c r="E172" s="5">
        <v>3</v>
      </c>
      <c r="F172" s="8">
        <v>34.99</v>
      </c>
      <c r="G172" s="8">
        <v>104.97</v>
      </c>
      <c r="H172" s="7" t="s">
        <v>19</v>
      </c>
      <c r="I172" s="7" t="s">
        <v>20</v>
      </c>
    </row>
    <row r="173" spans="1:9">
      <c r="A173" s="5">
        <v>10172</v>
      </c>
      <c r="B173" s="6">
        <v>45463</v>
      </c>
      <c r="C173" s="7" t="s">
        <v>21</v>
      </c>
      <c r="D173" s="7" t="s">
        <v>190</v>
      </c>
      <c r="E173" s="5">
        <v>2</v>
      </c>
      <c r="F173" s="8">
        <v>9.99</v>
      </c>
      <c r="G173" s="8">
        <v>19.98</v>
      </c>
      <c r="H173" s="7" t="s">
        <v>11</v>
      </c>
      <c r="I173" s="7" t="s">
        <v>12</v>
      </c>
    </row>
    <row r="174" spans="1:9">
      <c r="A174" s="5">
        <v>10173</v>
      </c>
      <c r="B174" s="6">
        <v>45464</v>
      </c>
      <c r="C174" s="7" t="s">
        <v>23</v>
      </c>
      <c r="D174" s="7" t="s">
        <v>191</v>
      </c>
      <c r="E174" s="5">
        <v>1</v>
      </c>
      <c r="F174" s="8">
        <v>29.5</v>
      </c>
      <c r="G174" s="8">
        <v>29.5</v>
      </c>
      <c r="H174" s="7" t="s">
        <v>15</v>
      </c>
      <c r="I174" s="7" t="s">
        <v>16</v>
      </c>
    </row>
    <row r="175" spans="1:9">
      <c r="A175" s="5">
        <v>10174</v>
      </c>
      <c r="B175" s="6">
        <v>45465</v>
      </c>
      <c r="C175" s="7" t="s">
        <v>25</v>
      </c>
      <c r="D175" s="7" t="s">
        <v>192</v>
      </c>
      <c r="E175" s="5">
        <v>1</v>
      </c>
      <c r="F175" s="8">
        <v>699.99</v>
      </c>
      <c r="G175" s="8">
        <v>699.99</v>
      </c>
      <c r="H175" s="7" t="s">
        <v>19</v>
      </c>
      <c r="I175" s="7" t="s">
        <v>12</v>
      </c>
    </row>
    <row r="176" spans="1:9">
      <c r="A176" s="5">
        <v>10175</v>
      </c>
      <c r="B176" s="6">
        <v>45466</v>
      </c>
      <c r="C176" s="7" t="s">
        <v>9</v>
      </c>
      <c r="D176" s="7" t="s">
        <v>193</v>
      </c>
      <c r="E176" s="5">
        <v>3</v>
      </c>
      <c r="F176" s="8">
        <v>49.99</v>
      </c>
      <c r="G176" s="8">
        <v>149.97</v>
      </c>
      <c r="H176" s="7" t="s">
        <v>11</v>
      </c>
      <c r="I176" s="7" t="s">
        <v>12</v>
      </c>
    </row>
    <row r="177" spans="1:9">
      <c r="A177" s="5">
        <v>10176</v>
      </c>
      <c r="B177" s="6">
        <v>45467</v>
      </c>
      <c r="C177" s="7" t="s">
        <v>13</v>
      </c>
      <c r="D177" s="7" t="s">
        <v>194</v>
      </c>
      <c r="E177" s="5">
        <v>2</v>
      </c>
      <c r="F177" s="8">
        <v>49.99</v>
      </c>
      <c r="G177" s="8">
        <v>99.98</v>
      </c>
      <c r="H177" s="7" t="s">
        <v>15</v>
      </c>
      <c r="I177" s="7" t="s">
        <v>16</v>
      </c>
    </row>
    <row r="178" spans="1:9">
      <c r="A178" s="5">
        <v>10177</v>
      </c>
      <c r="B178" s="6">
        <v>45468</v>
      </c>
      <c r="C178" s="7" t="s">
        <v>17</v>
      </c>
      <c r="D178" s="7" t="s">
        <v>195</v>
      </c>
      <c r="E178" s="5">
        <v>4</v>
      </c>
      <c r="F178" s="8">
        <v>14.9</v>
      </c>
      <c r="G178" s="8">
        <v>59.6</v>
      </c>
      <c r="H178" s="7" t="s">
        <v>19</v>
      </c>
      <c r="I178" s="7" t="s">
        <v>20</v>
      </c>
    </row>
    <row r="179" spans="1:9">
      <c r="A179" s="5">
        <v>10178</v>
      </c>
      <c r="B179" s="6">
        <v>45469</v>
      </c>
      <c r="C179" s="7" t="s">
        <v>21</v>
      </c>
      <c r="D179" s="7" t="s">
        <v>196</v>
      </c>
      <c r="E179" s="5">
        <v>3</v>
      </c>
      <c r="F179" s="8">
        <v>11.99</v>
      </c>
      <c r="G179" s="8">
        <v>35.97</v>
      </c>
      <c r="H179" s="7" t="s">
        <v>11</v>
      </c>
      <c r="I179" s="7" t="s">
        <v>12</v>
      </c>
    </row>
    <row r="180" spans="1:9">
      <c r="A180" s="5">
        <v>10179</v>
      </c>
      <c r="B180" s="6">
        <v>45470</v>
      </c>
      <c r="C180" s="7" t="s">
        <v>23</v>
      </c>
      <c r="D180" s="7" t="s">
        <v>197</v>
      </c>
      <c r="E180" s="5">
        <v>2</v>
      </c>
      <c r="F180" s="8">
        <v>34</v>
      </c>
      <c r="G180" s="8">
        <v>68</v>
      </c>
      <c r="H180" s="7" t="s">
        <v>15</v>
      </c>
      <c r="I180" s="7" t="s">
        <v>16</v>
      </c>
    </row>
    <row r="181" spans="1:9">
      <c r="A181" s="5">
        <v>10180</v>
      </c>
      <c r="B181" s="6">
        <v>45471</v>
      </c>
      <c r="C181" s="7" t="s">
        <v>25</v>
      </c>
      <c r="D181" s="7" t="s">
        <v>198</v>
      </c>
      <c r="E181" s="5">
        <v>1</v>
      </c>
      <c r="F181" s="8">
        <v>146</v>
      </c>
      <c r="G181" s="8">
        <v>146</v>
      </c>
      <c r="H181" s="7" t="s">
        <v>19</v>
      </c>
      <c r="I181" s="7" t="s">
        <v>12</v>
      </c>
    </row>
    <row r="182" spans="1:9">
      <c r="A182" s="5">
        <v>10181</v>
      </c>
      <c r="B182" s="6">
        <v>45472</v>
      </c>
      <c r="C182" s="7" t="s">
        <v>9</v>
      </c>
      <c r="D182" s="7" t="s">
        <v>199</v>
      </c>
      <c r="E182" s="5">
        <v>1</v>
      </c>
      <c r="F182" s="8">
        <v>649.99</v>
      </c>
      <c r="G182" s="8">
        <v>649.99</v>
      </c>
      <c r="H182" s="7" t="s">
        <v>11</v>
      </c>
      <c r="I182" s="7" t="s">
        <v>12</v>
      </c>
    </row>
    <row r="183" spans="1:9">
      <c r="A183" s="5">
        <v>10182</v>
      </c>
      <c r="B183" s="6">
        <v>45473</v>
      </c>
      <c r="C183" s="7" t="s">
        <v>13</v>
      </c>
      <c r="D183" s="7" t="s">
        <v>200</v>
      </c>
      <c r="E183" s="5">
        <v>1</v>
      </c>
      <c r="F183" s="8">
        <v>399.99</v>
      </c>
      <c r="G183" s="8">
        <v>399.99</v>
      </c>
      <c r="H183" s="7" t="s">
        <v>15</v>
      </c>
      <c r="I183" s="7" t="s">
        <v>16</v>
      </c>
    </row>
    <row r="184" spans="1:9">
      <c r="A184" s="5">
        <v>10183</v>
      </c>
      <c r="B184" s="6">
        <v>45474</v>
      </c>
      <c r="C184" s="7" t="s">
        <v>17</v>
      </c>
      <c r="D184" s="7" t="s">
        <v>201</v>
      </c>
      <c r="E184" s="5">
        <v>3</v>
      </c>
      <c r="F184" s="8">
        <v>59.99</v>
      </c>
      <c r="G184" s="8">
        <v>179.97</v>
      </c>
      <c r="H184" s="7" t="s">
        <v>19</v>
      </c>
      <c r="I184" s="7" t="s">
        <v>20</v>
      </c>
    </row>
    <row r="185" spans="1:9">
      <c r="A185" s="5">
        <v>10184</v>
      </c>
      <c r="B185" s="6">
        <v>45475</v>
      </c>
      <c r="C185" s="7" t="s">
        <v>21</v>
      </c>
      <c r="D185" s="7" t="s">
        <v>202</v>
      </c>
      <c r="E185" s="5">
        <v>2</v>
      </c>
      <c r="F185" s="8">
        <v>12.99</v>
      </c>
      <c r="G185" s="8">
        <v>25.98</v>
      </c>
      <c r="H185" s="7" t="s">
        <v>11</v>
      </c>
      <c r="I185" s="7" t="s">
        <v>12</v>
      </c>
    </row>
    <row r="186" spans="1:9">
      <c r="A186" s="5">
        <v>10185</v>
      </c>
      <c r="B186" s="6">
        <v>45476</v>
      </c>
      <c r="C186" s="7" t="s">
        <v>23</v>
      </c>
      <c r="D186" s="7" t="s">
        <v>203</v>
      </c>
      <c r="E186" s="5">
        <v>1</v>
      </c>
      <c r="F186" s="8">
        <v>190</v>
      </c>
      <c r="G186" s="8">
        <v>190</v>
      </c>
      <c r="H186" s="7" t="s">
        <v>15</v>
      </c>
      <c r="I186" s="7" t="s">
        <v>16</v>
      </c>
    </row>
    <row r="187" spans="1:9">
      <c r="A187" s="5">
        <v>10186</v>
      </c>
      <c r="B187" s="6">
        <v>45477</v>
      </c>
      <c r="C187" s="7" t="s">
        <v>25</v>
      </c>
      <c r="D187" s="7" t="s">
        <v>204</v>
      </c>
      <c r="E187" s="5">
        <v>1</v>
      </c>
      <c r="F187" s="8">
        <v>499.95</v>
      </c>
      <c r="G187" s="8">
        <v>499.95</v>
      </c>
      <c r="H187" s="7" t="s">
        <v>19</v>
      </c>
      <c r="I187" s="7" t="s">
        <v>12</v>
      </c>
    </row>
    <row r="188" spans="1:9">
      <c r="A188" s="5">
        <v>10187</v>
      </c>
      <c r="B188" s="6">
        <v>45478</v>
      </c>
      <c r="C188" s="7" t="s">
        <v>9</v>
      </c>
      <c r="D188" s="7" t="s">
        <v>205</v>
      </c>
      <c r="E188" s="5">
        <v>1</v>
      </c>
      <c r="F188" s="8">
        <v>399</v>
      </c>
      <c r="G188" s="8">
        <v>399</v>
      </c>
      <c r="H188" s="7" t="s">
        <v>11</v>
      </c>
      <c r="I188" s="7" t="s">
        <v>12</v>
      </c>
    </row>
    <row r="189" spans="1:9">
      <c r="A189" s="5">
        <v>10188</v>
      </c>
      <c r="B189" s="6">
        <v>45479</v>
      </c>
      <c r="C189" s="7" t="s">
        <v>13</v>
      </c>
      <c r="D189" s="7" t="s">
        <v>206</v>
      </c>
      <c r="E189" s="5">
        <v>2</v>
      </c>
      <c r="F189" s="8">
        <v>199</v>
      </c>
      <c r="G189" s="8">
        <v>398</v>
      </c>
      <c r="H189" s="7" t="s">
        <v>15</v>
      </c>
      <c r="I189" s="7" t="s">
        <v>16</v>
      </c>
    </row>
    <row r="190" spans="1:9">
      <c r="A190" s="5">
        <v>10189</v>
      </c>
      <c r="B190" s="6">
        <v>45480</v>
      </c>
      <c r="C190" s="7" t="s">
        <v>17</v>
      </c>
      <c r="D190" s="7" t="s">
        <v>207</v>
      </c>
      <c r="E190" s="5">
        <v>4</v>
      </c>
      <c r="F190" s="8">
        <v>34.99</v>
      </c>
      <c r="G190" s="8">
        <v>139.96</v>
      </c>
      <c r="H190" s="7" t="s">
        <v>19</v>
      </c>
      <c r="I190" s="7" t="s">
        <v>20</v>
      </c>
    </row>
    <row r="191" spans="1:9">
      <c r="A191" s="5">
        <v>10190</v>
      </c>
      <c r="B191" s="6">
        <v>45481</v>
      </c>
      <c r="C191" s="7" t="s">
        <v>21</v>
      </c>
      <c r="D191" s="7" t="s">
        <v>108</v>
      </c>
      <c r="E191" s="5">
        <v>3</v>
      </c>
      <c r="F191" s="8">
        <v>10.99</v>
      </c>
      <c r="G191" s="8">
        <v>32.97</v>
      </c>
      <c r="H191" s="7" t="s">
        <v>11</v>
      </c>
      <c r="I191" s="7" t="s">
        <v>12</v>
      </c>
    </row>
    <row r="192" spans="1:9">
      <c r="A192" s="5">
        <v>10191</v>
      </c>
      <c r="B192" s="6">
        <v>45482</v>
      </c>
      <c r="C192" s="7" t="s">
        <v>23</v>
      </c>
      <c r="D192" s="7" t="s">
        <v>208</v>
      </c>
      <c r="E192" s="5">
        <v>1</v>
      </c>
      <c r="F192" s="8">
        <v>18</v>
      </c>
      <c r="G192" s="8">
        <v>18</v>
      </c>
      <c r="H192" s="7" t="s">
        <v>15</v>
      </c>
      <c r="I192" s="7" t="s">
        <v>16</v>
      </c>
    </row>
    <row r="193" spans="1:9">
      <c r="A193" s="5">
        <v>10192</v>
      </c>
      <c r="B193" s="6">
        <v>45483</v>
      </c>
      <c r="C193" s="7" t="s">
        <v>25</v>
      </c>
      <c r="D193" s="7" t="s">
        <v>209</v>
      </c>
      <c r="E193" s="5">
        <v>1</v>
      </c>
      <c r="F193" s="8">
        <v>169.95</v>
      </c>
      <c r="G193" s="8">
        <v>169.95</v>
      </c>
      <c r="H193" s="7" t="s">
        <v>19</v>
      </c>
      <c r="I193" s="7" t="s">
        <v>12</v>
      </c>
    </row>
    <row r="194" spans="1:9">
      <c r="A194" s="5">
        <v>10193</v>
      </c>
      <c r="B194" s="6">
        <v>45484</v>
      </c>
      <c r="C194" s="7" t="s">
        <v>9</v>
      </c>
      <c r="D194" s="7" t="s">
        <v>210</v>
      </c>
      <c r="E194" s="5">
        <v>1</v>
      </c>
      <c r="F194" s="8">
        <v>199.99</v>
      </c>
      <c r="G194" s="8">
        <v>199.99</v>
      </c>
      <c r="H194" s="7" t="s">
        <v>11</v>
      </c>
      <c r="I194" s="7" t="s">
        <v>12</v>
      </c>
    </row>
    <row r="195" spans="1:9">
      <c r="A195" s="5">
        <v>10194</v>
      </c>
      <c r="B195" s="6">
        <v>45485</v>
      </c>
      <c r="C195" s="7" t="s">
        <v>13</v>
      </c>
      <c r="D195" s="7" t="s">
        <v>211</v>
      </c>
      <c r="E195" s="5">
        <v>1</v>
      </c>
      <c r="F195" s="8">
        <v>199.95</v>
      </c>
      <c r="G195" s="8">
        <v>199.95</v>
      </c>
      <c r="H195" s="7" t="s">
        <v>15</v>
      </c>
      <c r="I195" s="7" t="s">
        <v>16</v>
      </c>
    </row>
    <row r="196" spans="1:9">
      <c r="A196" s="5">
        <v>10195</v>
      </c>
      <c r="B196" s="6">
        <v>45486</v>
      </c>
      <c r="C196" s="7" t="s">
        <v>17</v>
      </c>
      <c r="D196" s="7" t="s">
        <v>212</v>
      </c>
      <c r="E196" s="5">
        <v>2</v>
      </c>
      <c r="F196" s="8">
        <v>179.99</v>
      </c>
      <c r="G196" s="8">
        <v>359.98</v>
      </c>
      <c r="H196" s="7" t="s">
        <v>19</v>
      </c>
      <c r="I196" s="7" t="s">
        <v>20</v>
      </c>
    </row>
    <row r="197" spans="1:9">
      <c r="A197" s="5">
        <v>10196</v>
      </c>
      <c r="B197" s="6">
        <v>45487</v>
      </c>
      <c r="C197" s="7" t="s">
        <v>21</v>
      </c>
      <c r="D197" s="7" t="s">
        <v>213</v>
      </c>
      <c r="E197" s="5">
        <v>2</v>
      </c>
      <c r="F197" s="8">
        <v>11.99</v>
      </c>
      <c r="G197" s="8">
        <v>23.98</v>
      </c>
      <c r="H197" s="7" t="s">
        <v>11</v>
      </c>
      <c r="I197" s="7" t="s">
        <v>12</v>
      </c>
    </row>
    <row r="198" spans="1:9">
      <c r="A198" s="5">
        <v>10197</v>
      </c>
      <c r="B198" s="6">
        <v>45488</v>
      </c>
      <c r="C198" s="7" t="s">
        <v>23</v>
      </c>
      <c r="D198" s="7" t="s">
        <v>214</v>
      </c>
      <c r="E198" s="5">
        <v>1</v>
      </c>
      <c r="F198" s="8">
        <v>125</v>
      </c>
      <c r="G198" s="8">
        <v>125</v>
      </c>
      <c r="H198" s="7" t="s">
        <v>15</v>
      </c>
      <c r="I198" s="7" t="s">
        <v>16</v>
      </c>
    </row>
    <row r="199" spans="1:9">
      <c r="A199" s="5">
        <v>10198</v>
      </c>
      <c r="B199" s="6">
        <v>45489</v>
      </c>
      <c r="C199" s="7" t="s">
        <v>25</v>
      </c>
      <c r="D199" s="7" t="s">
        <v>215</v>
      </c>
      <c r="E199" s="5">
        <v>1</v>
      </c>
      <c r="F199" s="8">
        <v>449.99</v>
      </c>
      <c r="G199" s="8">
        <v>449.99</v>
      </c>
      <c r="H199" s="7" t="s">
        <v>19</v>
      </c>
      <c r="I199" s="7" t="s">
        <v>12</v>
      </c>
    </row>
    <row r="200" spans="1:9">
      <c r="A200" s="5">
        <v>10199</v>
      </c>
      <c r="B200" s="6">
        <v>45490</v>
      </c>
      <c r="C200" s="7" t="s">
        <v>9</v>
      </c>
      <c r="D200" s="7" t="s">
        <v>216</v>
      </c>
      <c r="E200" s="5">
        <v>2</v>
      </c>
      <c r="F200" s="8">
        <v>179</v>
      </c>
      <c r="G200" s="8">
        <v>358</v>
      </c>
      <c r="H200" s="7" t="s">
        <v>11</v>
      </c>
      <c r="I200" s="7" t="s">
        <v>12</v>
      </c>
    </row>
    <row r="201" spans="1:9">
      <c r="A201" s="5">
        <v>10200</v>
      </c>
      <c r="B201" s="6">
        <v>45491</v>
      </c>
      <c r="C201" s="7" t="s">
        <v>13</v>
      </c>
      <c r="D201" s="7" t="s">
        <v>217</v>
      </c>
      <c r="E201" s="5">
        <v>1</v>
      </c>
      <c r="F201" s="8">
        <v>99.95</v>
      </c>
      <c r="G201" s="8">
        <v>99.95</v>
      </c>
      <c r="H201" s="7" t="s">
        <v>15</v>
      </c>
      <c r="I201" s="7" t="s">
        <v>16</v>
      </c>
    </row>
    <row r="202" spans="1:9">
      <c r="A202" s="5">
        <v>10201</v>
      </c>
      <c r="B202" s="6">
        <v>45492</v>
      </c>
      <c r="C202" s="7" t="s">
        <v>17</v>
      </c>
      <c r="D202" s="7" t="s">
        <v>218</v>
      </c>
      <c r="E202" s="5">
        <v>3</v>
      </c>
      <c r="F202" s="8">
        <v>59.99</v>
      </c>
      <c r="G202" s="8">
        <v>179.97</v>
      </c>
      <c r="H202" s="7" t="s">
        <v>19</v>
      </c>
      <c r="I202" s="7" t="s">
        <v>20</v>
      </c>
    </row>
    <row r="203" spans="1:9">
      <c r="A203" s="5">
        <v>10202</v>
      </c>
      <c r="B203" s="6">
        <v>45493</v>
      </c>
      <c r="C203" s="7" t="s">
        <v>21</v>
      </c>
      <c r="D203" s="7" t="s">
        <v>219</v>
      </c>
      <c r="E203" s="5">
        <v>2</v>
      </c>
      <c r="F203" s="8">
        <v>14.99</v>
      </c>
      <c r="G203" s="8">
        <v>29.98</v>
      </c>
      <c r="H203" s="7" t="s">
        <v>11</v>
      </c>
      <c r="I203" s="7" t="s">
        <v>12</v>
      </c>
    </row>
    <row r="204" spans="1:9">
      <c r="A204" s="5">
        <v>10203</v>
      </c>
      <c r="B204" s="6">
        <v>45494</v>
      </c>
      <c r="C204" s="7" t="s">
        <v>23</v>
      </c>
      <c r="D204" s="7" t="s">
        <v>220</v>
      </c>
      <c r="E204" s="5">
        <v>1</v>
      </c>
      <c r="F204" s="8">
        <v>52</v>
      </c>
      <c r="G204" s="8">
        <v>52</v>
      </c>
      <c r="H204" s="7" t="s">
        <v>15</v>
      </c>
      <c r="I204" s="7" t="s">
        <v>16</v>
      </c>
    </row>
    <row r="205" spans="1:9">
      <c r="A205" s="5">
        <v>10204</v>
      </c>
      <c r="B205" s="6">
        <v>45495</v>
      </c>
      <c r="C205" s="7" t="s">
        <v>25</v>
      </c>
      <c r="D205" s="7" t="s">
        <v>221</v>
      </c>
      <c r="E205" s="5">
        <v>1</v>
      </c>
      <c r="F205" s="8">
        <v>399.99</v>
      </c>
      <c r="G205" s="8">
        <v>399.99</v>
      </c>
      <c r="H205" s="7" t="s">
        <v>19</v>
      </c>
      <c r="I205" s="7" t="s">
        <v>12</v>
      </c>
    </row>
    <row r="206" spans="1:9">
      <c r="A206" s="5">
        <v>10205</v>
      </c>
      <c r="B206" s="6">
        <v>45496</v>
      </c>
      <c r="C206" s="7" t="s">
        <v>9</v>
      </c>
      <c r="D206" s="7" t="s">
        <v>222</v>
      </c>
      <c r="E206" s="5">
        <v>1</v>
      </c>
      <c r="F206" s="8">
        <v>299.99</v>
      </c>
      <c r="G206" s="8">
        <v>299.99</v>
      </c>
      <c r="H206" s="7" t="s">
        <v>11</v>
      </c>
      <c r="I206" s="7" t="s">
        <v>12</v>
      </c>
    </row>
    <row r="207" spans="1:9">
      <c r="A207" s="5">
        <v>10206</v>
      </c>
      <c r="B207" s="6">
        <v>45497</v>
      </c>
      <c r="C207" s="7" t="s">
        <v>13</v>
      </c>
      <c r="D207" s="7" t="s">
        <v>223</v>
      </c>
      <c r="E207" s="5">
        <v>1</v>
      </c>
      <c r="F207" s="8">
        <v>379.99</v>
      </c>
      <c r="G207" s="8">
        <v>379.99</v>
      </c>
      <c r="H207" s="7" t="s">
        <v>15</v>
      </c>
      <c r="I207" s="7" t="s">
        <v>16</v>
      </c>
    </row>
    <row r="208" spans="1:9">
      <c r="A208" s="5">
        <v>10207</v>
      </c>
      <c r="B208" s="6">
        <v>45498</v>
      </c>
      <c r="C208" s="7" t="s">
        <v>17</v>
      </c>
      <c r="D208" s="7" t="s">
        <v>224</v>
      </c>
      <c r="E208" s="5">
        <v>2</v>
      </c>
      <c r="F208" s="8">
        <v>98</v>
      </c>
      <c r="G208" s="8">
        <v>196</v>
      </c>
      <c r="H208" s="7" t="s">
        <v>19</v>
      </c>
      <c r="I208" s="7" t="s">
        <v>20</v>
      </c>
    </row>
    <row r="209" spans="1:9">
      <c r="A209" s="5">
        <v>10208</v>
      </c>
      <c r="B209" s="6">
        <v>45499</v>
      </c>
      <c r="C209" s="7" t="s">
        <v>21</v>
      </c>
      <c r="D209" s="7" t="s">
        <v>225</v>
      </c>
      <c r="E209" s="5">
        <v>3</v>
      </c>
      <c r="F209" s="8">
        <v>16.989999999999998</v>
      </c>
      <c r="G209" s="8">
        <v>50.97</v>
      </c>
      <c r="H209" s="7" t="s">
        <v>11</v>
      </c>
      <c r="I209" s="7" t="s">
        <v>12</v>
      </c>
    </row>
    <row r="210" spans="1:9">
      <c r="A210" s="5">
        <v>10209</v>
      </c>
      <c r="B210" s="6">
        <v>45500</v>
      </c>
      <c r="C210" s="7" t="s">
        <v>23</v>
      </c>
      <c r="D210" s="7" t="s">
        <v>226</v>
      </c>
      <c r="E210" s="5">
        <v>1</v>
      </c>
      <c r="F210" s="8">
        <v>79</v>
      </c>
      <c r="G210" s="8">
        <v>79</v>
      </c>
      <c r="H210" s="7" t="s">
        <v>15</v>
      </c>
      <c r="I210" s="7" t="s">
        <v>16</v>
      </c>
    </row>
    <row r="211" spans="1:9">
      <c r="A211" s="5">
        <v>10210</v>
      </c>
      <c r="B211" s="6">
        <v>45501</v>
      </c>
      <c r="C211" s="7" t="s">
        <v>25</v>
      </c>
      <c r="D211" s="7" t="s">
        <v>227</v>
      </c>
      <c r="E211" s="5">
        <v>1</v>
      </c>
      <c r="F211" s="8">
        <v>129</v>
      </c>
      <c r="G211" s="8">
        <v>129</v>
      </c>
      <c r="H211" s="7" t="s">
        <v>19</v>
      </c>
      <c r="I211" s="7" t="s">
        <v>12</v>
      </c>
    </row>
    <row r="212" spans="1:9">
      <c r="A212" s="5">
        <v>10211</v>
      </c>
      <c r="B212" s="6">
        <v>45502</v>
      </c>
      <c r="C212" s="7" t="s">
        <v>9</v>
      </c>
      <c r="D212" s="7" t="s">
        <v>228</v>
      </c>
      <c r="E212" s="5">
        <v>1</v>
      </c>
      <c r="F212" s="8">
        <v>749.99</v>
      </c>
      <c r="G212" s="8">
        <v>749.99</v>
      </c>
      <c r="H212" s="7" t="s">
        <v>11</v>
      </c>
      <c r="I212" s="7" t="s">
        <v>12</v>
      </c>
    </row>
    <row r="213" spans="1:9">
      <c r="A213" s="5">
        <v>10212</v>
      </c>
      <c r="B213" s="6">
        <v>45503</v>
      </c>
      <c r="C213" s="7" t="s">
        <v>13</v>
      </c>
      <c r="D213" s="7" t="s">
        <v>34</v>
      </c>
      <c r="E213" s="5">
        <v>2</v>
      </c>
      <c r="F213" s="8">
        <v>169.99</v>
      </c>
      <c r="G213" s="8">
        <v>339.98</v>
      </c>
      <c r="H213" s="7" t="s">
        <v>15</v>
      </c>
      <c r="I213" s="7" t="s">
        <v>16</v>
      </c>
    </row>
    <row r="214" spans="1:9">
      <c r="A214" s="5">
        <v>10213</v>
      </c>
      <c r="B214" s="6">
        <v>45504</v>
      </c>
      <c r="C214" s="7" t="s">
        <v>17</v>
      </c>
      <c r="D214" s="7" t="s">
        <v>229</v>
      </c>
      <c r="E214" s="5">
        <v>4</v>
      </c>
      <c r="F214" s="8">
        <v>9.9</v>
      </c>
      <c r="G214" s="8">
        <v>39.6</v>
      </c>
      <c r="H214" s="7" t="s">
        <v>19</v>
      </c>
      <c r="I214" s="7" t="s">
        <v>20</v>
      </c>
    </row>
    <row r="215" spans="1:9">
      <c r="A215" s="5">
        <v>10214</v>
      </c>
      <c r="B215" s="6">
        <v>45505</v>
      </c>
      <c r="C215" s="7" t="s">
        <v>21</v>
      </c>
      <c r="D215" s="7" t="s">
        <v>190</v>
      </c>
      <c r="E215" s="5">
        <v>3</v>
      </c>
      <c r="F215" s="8">
        <v>10.99</v>
      </c>
      <c r="G215" s="8">
        <v>32.97</v>
      </c>
      <c r="H215" s="7" t="s">
        <v>11</v>
      </c>
      <c r="I215" s="7" t="s">
        <v>12</v>
      </c>
    </row>
    <row r="216" spans="1:9">
      <c r="A216" s="5">
        <v>10215</v>
      </c>
      <c r="B216" s="6">
        <v>45506</v>
      </c>
      <c r="C216" s="7" t="s">
        <v>23</v>
      </c>
      <c r="D216" s="7" t="s">
        <v>230</v>
      </c>
      <c r="E216" s="5">
        <v>2</v>
      </c>
      <c r="F216" s="8">
        <v>29</v>
      </c>
      <c r="G216" s="8">
        <v>58</v>
      </c>
      <c r="H216" s="7" t="s">
        <v>15</v>
      </c>
      <c r="I216" s="7" t="s">
        <v>16</v>
      </c>
    </row>
    <row r="217" spans="1:9">
      <c r="A217" s="5">
        <v>10216</v>
      </c>
      <c r="B217" s="6">
        <v>45507</v>
      </c>
      <c r="C217" s="7" t="s">
        <v>25</v>
      </c>
      <c r="D217" s="7" t="s">
        <v>231</v>
      </c>
      <c r="E217" s="5">
        <v>1</v>
      </c>
      <c r="F217" s="8">
        <v>349.99</v>
      </c>
      <c r="G217" s="8">
        <v>349.99</v>
      </c>
      <c r="H217" s="7" t="s">
        <v>19</v>
      </c>
      <c r="I217" s="7" t="s">
        <v>12</v>
      </c>
    </row>
    <row r="218" spans="1:9">
      <c r="A218" s="5">
        <v>10217</v>
      </c>
      <c r="B218" s="6">
        <v>45508</v>
      </c>
      <c r="C218" s="7" t="s">
        <v>9</v>
      </c>
      <c r="D218" s="7" t="s">
        <v>232</v>
      </c>
      <c r="E218" s="5">
        <v>1</v>
      </c>
      <c r="F218" s="8">
        <v>2399</v>
      </c>
      <c r="G218" s="8">
        <v>2399</v>
      </c>
      <c r="H218" s="7" t="s">
        <v>11</v>
      </c>
      <c r="I218" s="7" t="s">
        <v>12</v>
      </c>
    </row>
    <row r="219" spans="1:9">
      <c r="A219" s="5">
        <v>10218</v>
      </c>
      <c r="B219" s="6">
        <v>45509</v>
      </c>
      <c r="C219" s="7" t="s">
        <v>13</v>
      </c>
      <c r="D219" s="7" t="s">
        <v>233</v>
      </c>
      <c r="E219" s="5">
        <v>1</v>
      </c>
      <c r="F219" s="8">
        <v>449.99</v>
      </c>
      <c r="G219" s="8">
        <v>449.99</v>
      </c>
      <c r="H219" s="7" t="s">
        <v>15</v>
      </c>
      <c r="I219" s="7" t="s">
        <v>16</v>
      </c>
    </row>
    <row r="220" spans="1:9">
      <c r="A220" s="5">
        <v>10219</v>
      </c>
      <c r="B220" s="6">
        <v>45510</v>
      </c>
      <c r="C220" s="7" t="s">
        <v>17</v>
      </c>
      <c r="D220" s="7" t="s">
        <v>234</v>
      </c>
      <c r="E220" s="5">
        <v>3</v>
      </c>
      <c r="F220" s="8">
        <v>49.99</v>
      </c>
      <c r="G220" s="8">
        <v>149.97</v>
      </c>
      <c r="H220" s="7" t="s">
        <v>19</v>
      </c>
      <c r="I220" s="7" t="s">
        <v>20</v>
      </c>
    </row>
    <row r="221" spans="1:9">
      <c r="A221" s="5">
        <v>10220</v>
      </c>
      <c r="B221" s="6">
        <v>45511</v>
      </c>
      <c r="C221" s="7" t="s">
        <v>21</v>
      </c>
      <c r="D221" s="7" t="s">
        <v>235</v>
      </c>
      <c r="E221" s="5">
        <v>2</v>
      </c>
      <c r="F221" s="8">
        <v>12.99</v>
      </c>
      <c r="G221" s="8">
        <v>25.98</v>
      </c>
      <c r="H221" s="7" t="s">
        <v>11</v>
      </c>
      <c r="I221" s="7" t="s">
        <v>12</v>
      </c>
    </row>
    <row r="222" spans="1:9">
      <c r="A222" s="5">
        <v>10221</v>
      </c>
      <c r="B222" s="6">
        <v>45512</v>
      </c>
      <c r="C222" s="7" t="s">
        <v>23</v>
      </c>
      <c r="D222" s="7" t="s">
        <v>236</v>
      </c>
      <c r="E222" s="5">
        <v>1</v>
      </c>
      <c r="F222" s="8">
        <v>27</v>
      </c>
      <c r="G222" s="8">
        <v>27</v>
      </c>
      <c r="H222" s="7" t="s">
        <v>15</v>
      </c>
      <c r="I222" s="7" t="s">
        <v>16</v>
      </c>
    </row>
    <row r="223" spans="1:9">
      <c r="A223" s="5">
        <v>10222</v>
      </c>
      <c r="B223" s="6">
        <v>45513</v>
      </c>
      <c r="C223" s="7" t="s">
        <v>25</v>
      </c>
      <c r="D223" s="7" t="s">
        <v>39</v>
      </c>
      <c r="E223" s="5">
        <v>1</v>
      </c>
      <c r="F223" s="8">
        <v>599.99</v>
      </c>
      <c r="G223" s="8">
        <v>599.99</v>
      </c>
      <c r="H223" s="7" t="s">
        <v>19</v>
      </c>
      <c r="I223" s="7" t="s">
        <v>12</v>
      </c>
    </row>
    <row r="224" spans="1:9">
      <c r="A224" s="5">
        <v>10223</v>
      </c>
      <c r="B224" s="6">
        <v>45514</v>
      </c>
      <c r="C224" s="7" t="s">
        <v>9</v>
      </c>
      <c r="D224" s="7" t="s">
        <v>237</v>
      </c>
      <c r="E224" s="5">
        <v>4</v>
      </c>
      <c r="F224" s="8">
        <v>49.99</v>
      </c>
      <c r="G224" s="8">
        <v>199.96</v>
      </c>
      <c r="H224" s="7" t="s">
        <v>11</v>
      </c>
      <c r="I224" s="7" t="s">
        <v>12</v>
      </c>
    </row>
    <row r="225" spans="1:9">
      <c r="A225" s="5">
        <v>10224</v>
      </c>
      <c r="B225" s="6">
        <v>45515</v>
      </c>
      <c r="C225" s="7" t="s">
        <v>13</v>
      </c>
      <c r="D225" s="7" t="s">
        <v>238</v>
      </c>
      <c r="E225" s="5">
        <v>2</v>
      </c>
      <c r="F225" s="8">
        <v>229.99</v>
      </c>
      <c r="G225" s="8">
        <v>459.98</v>
      </c>
      <c r="H225" s="7" t="s">
        <v>15</v>
      </c>
      <c r="I225" s="7" t="s">
        <v>16</v>
      </c>
    </row>
    <row r="226" spans="1:9">
      <c r="A226" s="5">
        <v>10225</v>
      </c>
      <c r="B226" s="6">
        <v>45516</v>
      </c>
      <c r="C226" s="7" t="s">
        <v>17</v>
      </c>
      <c r="D226" s="7" t="s">
        <v>239</v>
      </c>
      <c r="E226" s="5">
        <v>2</v>
      </c>
      <c r="F226" s="8">
        <v>44.99</v>
      </c>
      <c r="G226" s="8">
        <v>89.98</v>
      </c>
      <c r="H226" s="7" t="s">
        <v>19</v>
      </c>
      <c r="I226" s="7" t="s">
        <v>20</v>
      </c>
    </row>
    <row r="227" spans="1:9">
      <c r="A227" s="5">
        <v>10226</v>
      </c>
      <c r="B227" s="6">
        <v>45517</v>
      </c>
      <c r="C227" s="7" t="s">
        <v>21</v>
      </c>
      <c r="D227" s="7" t="s">
        <v>72</v>
      </c>
      <c r="E227" s="5">
        <v>3</v>
      </c>
      <c r="F227" s="8">
        <v>26.99</v>
      </c>
      <c r="G227" s="8">
        <v>80.97</v>
      </c>
      <c r="H227" s="7" t="s">
        <v>11</v>
      </c>
      <c r="I227" s="7" t="s">
        <v>12</v>
      </c>
    </row>
    <row r="228" spans="1:9">
      <c r="A228" s="5">
        <v>10227</v>
      </c>
      <c r="B228" s="6">
        <v>45518</v>
      </c>
      <c r="C228" s="7" t="s">
        <v>23</v>
      </c>
      <c r="D228" s="7" t="s">
        <v>240</v>
      </c>
      <c r="E228" s="5">
        <v>1</v>
      </c>
      <c r="F228" s="8">
        <v>6.7</v>
      </c>
      <c r="G228" s="8">
        <v>6.7</v>
      </c>
      <c r="H228" s="7" t="s">
        <v>15</v>
      </c>
      <c r="I228" s="7" t="s">
        <v>16</v>
      </c>
    </row>
    <row r="229" spans="1:9">
      <c r="A229" s="5">
        <v>10228</v>
      </c>
      <c r="B229" s="6">
        <v>45519</v>
      </c>
      <c r="C229" s="7" t="s">
        <v>25</v>
      </c>
      <c r="D229" s="7" t="s">
        <v>241</v>
      </c>
      <c r="E229" s="5">
        <v>2</v>
      </c>
      <c r="F229" s="8">
        <v>149.94999999999999</v>
      </c>
      <c r="G229" s="8">
        <v>299.89999999999998</v>
      </c>
      <c r="H229" s="7" t="s">
        <v>19</v>
      </c>
      <c r="I229" s="7" t="s">
        <v>12</v>
      </c>
    </row>
    <row r="230" spans="1:9">
      <c r="A230" s="5">
        <v>10229</v>
      </c>
      <c r="B230" s="6">
        <v>45520</v>
      </c>
      <c r="C230" s="7" t="s">
        <v>9</v>
      </c>
      <c r="D230" s="7" t="s">
        <v>242</v>
      </c>
      <c r="E230" s="5">
        <v>1</v>
      </c>
      <c r="F230" s="8">
        <v>169</v>
      </c>
      <c r="G230" s="8">
        <v>169</v>
      </c>
      <c r="H230" s="7" t="s">
        <v>11</v>
      </c>
      <c r="I230" s="7" t="s">
        <v>12</v>
      </c>
    </row>
    <row r="231" spans="1:9">
      <c r="A231" s="5">
        <v>10230</v>
      </c>
      <c r="B231" s="6">
        <v>45521</v>
      </c>
      <c r="C231" s="7" t="s">
        <v>13</v>
      </c>
      <c r="D231" s="7" t="s">
        <v>243</v>
      </c>
      <c r="E231" s="5">
        <v>1</v>
      </c>
      <c r="F231" s="8">
        <v>599</v>
      </c>
      <c r="G231" s="8">
        <v>599</v>
      </c>
      <c r="H231" s="7" t="s">
        <v>15</v>
      </c>
      <c r="I231" s="7" t="s">
        <v>16</v>
      </c>
    </row>
    <row r="232" spans="1:9">
      <c r="A232" s="5">
        <v>10231</v>
      </c>
      <c r="B232" s="6">
        <v>45522</v>
      </c>
      <c r="C232" s="7" t="s">
        <v>17</v>
      </c>
      <c r="D232" s="7" t="s">
        <v>244</v>
      </c>
      <c r="E232" s="5">
        <v>4</v>
      </c>
      <c r="F232" s="8">
        <v>64.989999999999995</v>
      </c>
      <c r="G232" s="8">
        <v>259.95999999999998</v>
      </c>
      <c r="H232" s="7" t="s">
        <v>19</v>
      </c>
      <c r="I232" s="7" t="s">
        <v>20</v>
      </c>
    </row>
    <row r="233" spans="1:9">
      <c r="A233" s="5">
        <v>10232</v>
      </c>
      <c r="B233" s="6">
        <v>45523</v>
      </c>
      <c r="C233" s="7" t="s">
        <v>21</v>
      </c>
      <c r="D233" s="7" t="s">
        <v>30</v>
      </c>
      <c r="E233" s="5">
        <v>2</v>
      </c>
      <c r="F233" s="8">
        <v>9.99</v>
      </c>
      <c r="G233" s="8">
        <v>19.98</v>
      </c>
      <c r="H233" s="7" t="s">
        <v>11</v>
      </c>
      <c r="I233" s="7" t="s">
        <v>12</v>
      </c>
    </row>
    <row r="234" spans="1:9">
      <c r="A234" s="5">
        <v>10233</v>
      </c>
      <c r="B234" s="6">
        <v>45524</v>
      </c>
      <c r="C234" s="7" t="s">
        <v>23</v>
      </c>
      <c r="D234" s="7" t="s">
        <v>245</v>
      </c>
      <c r="E234" s="5">
        <v>1</v>
      </c>
      <c r="F234" s="8">
        <v>24</v>
      </c>
      <c r="G234" s="8">
        <v>24</v>
      </c>
      <c r="H234" s="7" t="s">
        <v>15</v>
      </c>
      <c r="I234" s="7" t="s">
        <v>16</v>
      </c>
    </row>
    <row r="235" spans="1:9">
      <c r="A235" s="5">
        <v>10234</v>
      </c>
      <c r="B235" s="6">
        <v>45525</v>
      </c>
      <c r="C235" s="7" t="s">
        <v>25</v>
      </c>
      <c r="D235" s="7" t="s">
        <v>246</v>
      </c>
      <c r="E235" s="5">
        <v>3</v>
      </c>
      <c r="F235" s="8">
        <v>32.950000000000003</v>
      </c>
      <c r="G235" s="8">
        <v>98.85</v>
      </c>
      <c r="H235" s="7" t="s">
        <v>19</v>
      </c>
      <c r="I235" s="7" t="s">
        <v>12</v>
      </c>
    </row>
    <row r="236" spans="1:9">
      <c r="A236" s="5">
        <v>10235</v>
      </c>
      <c r="B236" s="6">
        <v>45526</v>
      </c>
      <c r="C236" s="7" t="s">
        <v>9</v>
      </c>
      <c r="D236" s="7" t="s">
        <v>247</v>
      </c>
      <c r="E236" s="5">
        <v>1</v>
      </c>
      <c r="F236" s="8">
        <v>299</v>
      </c>
      <c r="G236" s="8">
        <v>299</v>
      </c>
      <c r="H236" s="7" t="s">
        <v>11</v>
      </c>
      <c r="I236" s="7" t="s">
        <v>12</v>
      </c>
    </row>
    <row r="237" spans="1:9">
      <c r="A237" s="5">
        <v>10236</v>
      </c>
      <c r="B237" s="6">
        <v>45527</v>
      </c>
      <c r="C237" s="7" t="s">
        <v>13</v>
      </c>
      <c r="D237" s="7" t="s">
        <v>248</v>
      </c>
      <c r="E237" s="5">
        <v>1</v>
      </c>
      <c r="F237" s="8">
        <v>159.99</v>
      </c>
      <c r="G237" s="8">
        <v>159.99</v>
      </c>
      <c r="H237" s="7" t="s">
        <v>15</v>
      </c>
      <c r="I237" s="7" t="s">
        <v>16</v>
      </c>
    </row>
    <row r="238" spans="1:9">
      <c r="A238" s="5">
        <v>10237</v>
      </c>
      <c r="B238" s="6">
        <v>45528</v>
      </c>
      <c r="C238" s="7" t="s">
        <v>17</v>
      </c>
      <c r="D238" s="7" t="s">
        <v>249</v>
      </c>
      <c r="E238" s="5">
        <v>3</v>
      </c>
      <c r="F238" s="8">
        <v>90</v>
      </c>
      <c r="G238" s="8">
        <v>270</v>
      </c>
      <c r="H238" s="7" t="s">
        <v>19</v>
      </c>
      <c r="I238" s="7" t="s">
        <v>20</v>
      </c>
    </row>
    <row r="239" spans="1:9">
      <c r="A239" s="5">
        <v>10238</v>
      </c>
      <c r="B239" s="6">
        <v>45529</v>
      </c>
      <c r="C239" s="7" t="s">
        <v>21</v>
      </c>
      <c r="D239" s="7" t="s">
        <v>250</v>
      </c>
      <c r="E239" s="5">
        <v>3</v>
      </c>
      <c r="F239" s="8">
        <v>10.99</v>
      </c>
      <c r="G239" s="8">
        <v>32.97</v>
      </c>
      <c r="H239" s="7" t="s">
        <v>11</v>
      </c>
      <c r="I239" s="7" t="s">
        <v>12</v>
      </c>
    </row>
    <row r="240" spans="1:9">
      <c r="A240" s="5">
        <v>10239</v>
      </c>
      <c r="B240" s="6">
        <v>45530</v>
      </c>
      <c r="C240" s="7" t="s">
        <v>23</v>
      </c>
      <c r="D240" s="7" t="s">
        <v>251</v>
      </c>
      <c r="E240" s="5">
        <v>1</v>
      </c>
      <c r="F240" s="8">
        <v>55</v>
      </c>
      <c r="G240" s="8">
        <v>55</v>
      </c>
      <c r="H240" s="7" t="s">
        <v>15</v>
      </c>
      <c r="I240" s="7" t="s">
        <v>16</v>
      </c>
    </row>
    <row r="241" spans="1:9">
      <c r="A241" s="5">
        <v>10240</v>
      </c>
      <c r="B241" s="6">
        <v>45531</v>
      </c>
      <c r="C241" s="7" t="s">
        <v>25</v>
      </c>
      <c r="D241" s="7" t="s">
        <v>252</v>
      </c>
      <c r="E241" s="5">
        <v>2</v>
      </c>
      <c r="F241" s="8">
        <v>29.99</v>
      </c>
      <c r="G241" s="8">
        <v>59.98</v>
      </c>
      <c r="H241" s="7" t="s">
        <v>19</v>
      </c>
      <c r="I241" s="7"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D1D8D-F035-4BE2-9360-A527C87E2B7B}">
  <sheetPr>
    <pageSetUpPr autoPageBreaks="0"/>
  </sheetPr>
  <dimension ref="A1:K26"/>
  <sheetViews>
    <sheetView zoomScaleNormal="100" workbookViewId="0">
      <selection activeCell="K13" sqref="K13"/>
    </sheetView>
  </sheetViews>
  <sheetFormatPr defaultRowHeight="14.4"/>
  <cols>
    <col min="1" max="1" width="33.77734375" customWidth="1"/>
    <col min="2" max="2" width="23" customWidth="1"/>
    <col min="3" max="3" width="20.5546875" customWidth="1"/>
    <col min="4" max="4" width="20" customWidth="1"/>
    <col min="5" max="5" width="14.33203125" customWidth="1"/>
    <col min="6" max="6" width="12" customWidth="1"/>
    <col min="7" max="7" width="11.33203125" customWidth="1"/>
    <col min="8" max="8" width="18.33203125" customWidth="1"/>
    <col min="10" max="10" width="16" customWidth="1"/>
    <col min="11" max="11" width="30.77734375" customWidth="1"/>
  </cols>
  <sheetData>
    <row r="1" spans="1:11" ht="15.6" customHeight="1">
      <c r="A1" s="12" t="s">
        <v>3</v>
      </c>
      <c r="B1" s="12" t="s">
        <v>2</v>
      </c>
      <c r="C1" s="12" t="s">
        <v>253</v>
      </c>
      <c r="D1" s="12" t="s">
        <v>254</v>
      </c>
      <c r="E1" s="13" t="s">
        <v>6</v>
      </c>
      <c r="F1" s="12" t="s">
        <v>255</v>
      </c>
      <c r="G1" s="12" t="s">
        <v>256</v>
      </c>
      <c r="H1" s="12" t="s">
        <v>257</v>
      </c>
      <c r="J1" s="18" t="s">
        <v>259</v>
      </c>
      <c r="K1" s="18"/>
    </row>
    <row r="2" spans="1:11" ht="14.4" customHeight="1">
      <c r="A2" s="7" t="s">
        <v>10</v>
      </c>
      <c r="B2" s="7" t="s">
        <v>9</v>
      </c>
      <c r="C2" s="7" t="str">
        <f>VLOOKUP(A2,$A$2:$B$26,2,FALSE)</f>
        <v>Electronics</v>
      </c>
      <c r="D2" s="7" t="str">
        <f>INDEX($B$2:$B$26,MATCH(A2,$A$2:$A$26,0))</f>
        <v>Electronics</v>
      </c>
      <c r="E2" s="8">
        <v>1999.98</v>
      </c>
      <c r="F2" s="7" t="str">
        <f>IF(E2&gt;=1000,"High","Low")</f>
        <v>High</v>
      </c>
      <c r="G2" s="7" t="str">
        <f>IF(E2&gt;=2000,"A",IF(E2&gt;=1000,"B",IF(E2&gt;=500,"C","D")))</f>
        <v>B</v>
      </c>
      <c r="H2" s="7" t="str">
        <f>IF(AND(E2&gt;=1000,E2&lt;=3000),"Target Achieved","Below Target")</f>
        <v>Target Achieved</v>
      </c>
      <c r="J2" s="16" t="s">
        <v>258</v>
      </c>
      <c r="K2" s="16" t="s">
        <v>260</v>
      </c>
    </row>
    <row r="3" spans="1:11">
      <c r="A3" s="7" t="s">
        <v>14</v>
      </c>
      <c r="B3" s="7" t="s">
        <v>13</v>
      </c>
      <c r="C3" s="7" t="str">
        <f t="shared" ref="C3:C26" si="0">VLOOKUP(A3,$A$2:$B$26,2,FALSE)</f>
        <v>Home Appliances</v>
      </c>
      <c r="D3" s="7" t="str">
        <f t="shared" ref="D3:D26" si="1">INDEX($B$2:$B$26,MATCH(A3,$A$2:$A$26,0))</f>
        <v>Home Appliances</v>
      </c>
      <c r="E3" s="8">
        <v>499.99</v>
      </c>
      <c r="F3" s="7" t="str">
        <f t="shared" ref="F3:F26" si="2">IF(E3&gt;=1000,"High","Low")</f>
        <v>Low</v>
      </c>
      <c r="G3" s="7" t="str">
        <f t="shared" ref="G3:G26" si="3">IF(E3&gt;=2000,"A",IF(E3&gt;=1000,"B",IF(E3&gt;=500,"C","D")))</f>
        <v>D</v>
      </c>
      <c r="H3" s="7" t="str">
        <f t="shared" ref="H3:H26" si="4">IF(AND(E3&gt;=1000,E3&lt;=3000),"Target Achieved","Below Target")</f>
        <v>Below Target</v>
      </c>
      <c r="J3" s="15" t="s">
        <v>261</v>
      </c>
      <c r="K3" s="14" t="s">
        <v>266</v>
      </c>
    </row>
    <row r="4" spans="1:11">
      <c r="A4" s="7" t="s">
        <v>18</v>
      </c>
      <c r="B4" s="7" t="s">
        <v>17</v>
      </c>
      <c r="C4" s="7" t="str">
        <f t="shared" si="0"/>
        <v>Clothing</v>
      </c>
      <c r="D4" s="7" t="str">
        <f t="shared" si="1"/>
        <v>Clothing</v>
      </c>
      <c r="E4" s="8">
        <v>209.97</v>
      </c>
      <c r="F4" s="7" t="str">
        <f t="shared" si="2"/>
        <v>Low</v>
      </c>
      <c r="G4" s="7" t="str">
        <f t="shared" si="3"/>
        <v>D</v>
      </c>
      <c r="H4" s="7" t="str">
        <f t="shared" si="4"/>
        <v>Below Target</v>
      </c>
      <c r="J4" s="15" t="s">
        <v>262</v>
      </c>
      <c r="K4" s="15" t="s">
        <v>267</v>
      </c>
    </row>
    <row r="5" spans="1:11">
      <c r="A5" s="7" t="s">
        <v>22</v>
      </c>
      <c r="B5" s="7" t="s">
        <v>21</v>
      </c>
      <c r="C5" s="7" t="str">
        <f t="shared" si="0"/>
        <v>Books</v>
      </c>
      <c r="D5" s="7" t="str">
        <f t="shared" si="1"/>
        <v>Books</v>
      </c>
      <c r="E5" s="8">
        <v>63.96</v>
      </c>
      <c r="F5" s="7" t="str">
        <f t="shared" si="2"/>
        <v>Low</v>
      </c>
      <c r="G5" s="7" t="str">
        <f t="shared" si="3"/>
        <v>D</v>
      </c>
      <c r="H5" s="7" t="str">
        <f t="shared" si="4"/>
        <v>Below Target</v>
      </c>
      <c r="J5" s="15" t="s">
        <v>263</v>
      </c>
      <c r="K5" s="14" t="s">
        <v>268</v>
      </c>
    </row>
    <row r="6" spans="1:11">
      <c r="A6" s="7" t="s">
        <v>24</v>
      </c>
      <c r="B6" s="7" t="s">
        <v>23</v>
      </c>
      <c r="C6" s="7" t="str">
        <f t="shared" si="0"/>
        <v>Beauty Products</v>
      </c>
      <c r="D6" s="7" t="str">
        <f t="shared" si="1"/>
        <v>Beauty Products</v>
      </c>
      <c r="E6" s="8">
        <v>89.99</v>
      </c>
      <c r="F6" s="7" t="str">
        <f t="shared" si="2"/>
        <v>Low</v>
      </c>
      <c r="G6" s="7" t="str">
        <f t="shared" si="3"/>
        <v>D</v>
      </c>
      <c r="H6" s="7" t="str">
        <f t="shared" si="4"/>
        <v>Below Target</v>
      </c>
      <c r="J6" s="15" t="s">
        <v>264</v>
      </c>
      <c r="K6" s="14" t="s">
        <v>269</v>
      </c>
    </row>
    <row r="7" spans="1:11">
      <c r="A7" s="7" t="s">
        <v>26</v>
      </c>
      <c r="B7" s="7" t="s">
        <v>25</v>
      </c>
      <c r="C7" s="7" t="str">
        <f t="shared" si="0"/>
        <v>Sports</v>
      </c>
      <c r="D7" s="7" t="str">
        <f t="shared" si="1"/>
        <v>Sports</v>
      </c>
      <c r="E7" s="8">
        <v>149.94999999999999</v>
      </c>
      <c r="F7" s="7" t="str">
        <f t="shared" si="2"/>
        <v>Low</v>
      </c>
      <c r="G7" s="7" t="str">
        <f t="shared" si="3"/>
        <v>D</v>
      </c>
      <c r="H7" s="7" t="str">
        <f t="shared" si="4"/>
        <v>Below Target</v>
      </c>
      <c r="J7" s="15" t="s">
        <v>265</v>
      </c>
      <c r="K7" s="14" t="s">
        <v>270</v>
      </c>
    </row>
    <row r="8" spans="1:11">
      <c r="A8" s="7" t="s">
        <v>27</v>
      </c>
      <c r="B8" s="7" t="s">
        <v>9</v>
      </c>
      <c r="C8" s="7" t="str">
        <f t="shared" si="0"/>
        <v>Electronics</v>
      </c>
      <c r="D8" s="7" t="str">
        <f t="shared" si="1"/>
        <v>Electronics</v>
      </c>
      <c r="E8" s="8">
        <v>2499.9899999999998</v>
      </c>
      <c r="F8" s="7" t="str">
        <f t="shared" si="2"/>
        <v>High</v>
      </c>
      <c r="G8" s="7" t="str">
        <f t="shared" si="3"/>
        <v>A</v>
      </c>
      <c r="H8" s="7" t="str">
        <f t="shared" si="4"/>
        <v>Target Achieved</v>
      </c>
    </row>
    <row r="9" spans="1:11">
      <c r="A9" s="7" t="s">
        <v>28</v>
      </c>
      <c r="B9" s="7" t="s">
        <v>13</v>
      </c>
      <c r="C9" s="7" t="str">
        <f t="shared" si="0"/>
        <v>Home Appliances</v>
      </c>
      <c r="D9" s="7" t="str">
        <f t="shared" si="1"/>
        <v>Home Appliances</v>
      </c>
      <c r="E9" s="8">
        <v>1199.98</v>
      </c>
      <c r="F9" s="7" t="str">
        <f t="shared" si="2"/>
        <v>High</v>
      </c>
      <c r="G9" s="7" t="str">
        <f t="shared" si="3"/>
        <v>B</v>
      </c>
      <c r="H9" s="7" t="str">
        <f t="shared" si="4"/>
        <v>Target Achieved</v>
      </c>
    </row>
    <row r="10" spans="1:11">
      <c r="A10" s="7" t="s">
        <v>29</v>
      </c>
      <c r="B10" s="7" t="s">
        <v>17</v>
      </c>
      <c r="C10" s="7" t="str">
        <f t="shared" si="0"/>
        <v>Clothing</v>
      </c>
      <c r="D10" s="7" t="str">
        <f t="shared" si="1"/>
        <v>Clothing</v>
      </c>
      <c r="E10" s="8">
        <v>539.94000000000005</v>
      </c>
      <c r="F10" s="7" t="str">
        <f t="shared" si="2"/>
        <v>Low</v>
      </c>
      <c r="G10" s="7" t="str">
        <f t="shared" si="3"/>
        <v>C</v>
      </c>
      <c r="H10" s="7" t="str">
        <f t="shared" si="4"/>
        <v>Below Target</v>
      </c>
    </row>
    <row r="11" spans="1:11">
      <c r="A11" s="7" t="s">
        <v>30</v>
      </c>
      <c r="B11" s="7" t="s">
        <v>21</v>
      </c>
      <c r="C11" s="7" t="str">
        <f t="shared" si="0"/>
        <v>Books</v>
      </c>
      <c r="D11" s="7" t="str">
        <f t="shared" si="1"/>
        <v>Books</v>
      </c>
      <c r="E11" s="8">
        <v>51.98</v>
      </c>
      <c r="F11" s="7" t="str">
        <f t="shared" si="2"/>
        <v>Low</v>
      </c>
      <c r="G11" s="7" t="str">
        <f t="shared" si="3"/>
        <v>D</v>
      </c>
      <c r="H11" s="7" t="str">
        <f t="shared" si="4"/>
        <v>Below Target</v>
      </c>
    </row>
    <row r="12" spans="1:11">
      <c r="A12" s="7" t="s">
        <v>31</v>
      </c>
      <c r="B12" s="7" t="s">
        <v>23</v>
      </c>
      <c r="C12" s="7" t="str">
        <f t="shared" si="0"/>
        <v>Beauty Products</v>
      </c>
      <c r="D12" s="7" t="str">
        <f t="shared" si="1"/>
        <v>Beauty Products</v>
      </c>
      <c r="E12" s="8">
        <v>129.99</v>
      </c>
      <c r="F12" s="7" t="str">
        <f t="shared" si="2"/>
        <v>Low</v>
      </c>
      <c r="G12" s="7" t="str">
        <f t="shared" si="3"/>
        <v>D</v>
      </c>
      <c r="H12" s="7" t="str">
        <f t="shared" si="4"/>
        <v>Below Target</v>
      </c>
    </row>
    <row r="13" spans="1:11">
      <c r="A13" s="7" t="s">
        <v>32</v>
      </c>
      <c r="B13" s="7" t="s">
        <v>25</v>
      </c>
      <c r="C13" s="7" t="str">
        <f t="shared" si="0"/>
        <v>Sports</v>
      </c>
      <c r="D13" s="7" t="str">
        <f t="shared" si="1"/>
        <v>Sports</v>
      </c>
      <c r="E13" s="8">
        <v>599.97</v>
      </c>
      <c r="F13" s="7" t="str">
        <f t="shared" si="2"/>
        <v>Low</v>
      </c>
      <c r="G13" s="7" t="str">
        <f t="shared" si="3"/>
        <v>C</v>
      </c>
      <c r="H13" s="7" t="str">
        <f t="shared" si="4"/>
        <v>Below Target</v>
      </c>
    </row>
    <row r="14" spans="1:11">
      <c r="A14" s="7" t="s">
        <v>33</v>
      </c>
      <c r="B14" s="7" t="s">
        <v>9</v>
      </c>
      <c r="C14" s="7" t="str">
        <f t="shared" si="0"/>
        <v>Electronics</v>
      </c>
      <c r="D14" s="7" t="str">
        <f t="shared" si="1"/>
        <v>Electronics</v>
      </c>
      <c r="E14" s="8">
        <v>1499.98</v>
      </c>
      <c r="F14" s="7" t="str">
        <f t="shared" si="2"/>
        <v>High</v>
      </c>
      <c r="G14" s="7" t="str">
        <f t="shared" si="3"/>
        <v>B</v>
      </c>
      <c r="H14" s="7" t="str">
        <f t="shared" si="4"/>
        <v>Target Achieved</v>
      </c>
    </row>
    <row r="15" spans="1:11">
      <c r="A15" s="7" t="s">
        <v>34</v>
      </c>
      <c r="B15" s="7" t="s">
        <v>13</v>
      </c>
      <c r="C15" s="7" t="str">
        <f t="shared" si="0"/>
        <v>Home Appliances</v>
      </c>
      <c r="D15" s="7" t="str">
        <f t="shared" si="1"/>
        <v>Home Appliances</v>
      </c>
      <c r="E15" s="8">
        <v>189.99</v>
      </c>
      <c r="F15" s="7" t="str">
        <f t="shared" si="2"/>
        <v>Low</v>
      </c>
      <c r="G15" s="7" t="str">
        <f t="shared" si="3"/>
        <v>D</v>
      </c>
      <c r="H15" s="7" t="str">
        <f t="shared" si="4"/>
        <v>Below Target</v>
      </c>
    </row>
    <row r="16" spans="1:11">
      <c r="A16" s="7" t="s">
        <v>35</v>
      </c>
      <c r="B16" s="7" t="s">
        <v>17</v>
      </c>
      <c r="C16" s="7" t="str">
        <f t="shared" si="0"/>
        <v>Clothing</v>
      </c>
      <c r="D16" s="7" t="str">
        <f t="shared" si="1"/>
        <v>Clothing</v>
      </c>
      <c r="E16" s="8">
        <v>499.98</v>
      </c>
      <c r="F16" s="7" t="str">
        <f t="shared" si="2"/>
        <v>Low</v>
      </c>
      <c r="G16" s="7" t="str">
        <f t="shared" si="3"/>
        <v>D</v>
      </c>
      <c r="H16" s="7" t="str">
        <f t="shared" si="4"/>
        <v>Below Target</v>
      </c>
    </row>
    <row r="17" spans="1:8">
      <c r="A17" s="7" t="s">
        <v>36</v>
      </c>
      <c r="B17" s="7" t="s">
        <v>21</v>
      </c>
      <c r="C17" s="7" t="str">
        <f t="shared" si="0"/>
        <v>Books</v>
      </c>
      <c r="D17" s="7" t="str">
        <f t="shared" si="1"/>
        <v>Books</v>
      </c>
      <c r="E17" s="8">
        <v>107.97</v>
      </c>
      <c r="F17" s="7" t="str">
        <f t="shared" si="2"/>
        <v>Low</v>
      </c>
      <c r="G17" s="7" t="str">
        <f t="shared" si="3"/>
        <v>D</v>
      </c>
      <c r="H17" s="7" t="str">
        <f t="shared" si="4"/>
        <v>Below Target</v>
      </c>
    </row>
    <row r="18" spans="1:8">
      <c r="A18" s="7" t="s">
        <v>37</v>
      </c>
      <c r="B18" s="7" t="s">
        <v>23</v>
      </c>
      <c r="C18" s="7" t="str">
        <f t="shared" si="0"/>
        <v>Beauty Products</v>
      </c>
      <c r="D18" s="7" t="str">
        <f t="shared" si="1"/>
        <v>Beauty Products</v>
      </c>
      <c r="E18" s="8">
        <v>399.99</v>
      </c>
      <c r="F18" s="7" t="str">
        <f t="shared" si="2"/>
        <v>Low</v>
      </c>
      <c r="G18" s="7" t="str">
        <f t="shared" si="3"/>
        <v>D</v>
      </c>
      <c r="H18" s="7" t="str">
        <f t="shared" si="4"/>
        <v>Below Target</v>
      </c>
    </row>
    <row r="19" spans="1:8">
      <c r="A19" s="7" t="s">
        <v>38</v>
      </c>
      <c r="B19" s="7" t="s">
        <v>25</v>
      </c>
      <c r="C19" s="7" t="str">
        <f t="shared" si="0"/>
        <v>Sports</v>
      </c>
      <c r="D19" s="7" t="str">
        <f t="shared" si="1"/>
        <v>Sports</v>
      </c>
      <c r="E19" s="8">
        <v>479.96</v>
      </c>
      <c r="F19" s="7" t="str">
        <f t="shared" si="2"/>
        <v>Low</v>
      </c>
      <c r="G19" s="7" t="str">
        <f t="shared" si="3"/>
        <v>D</v>
      </c>
      <c r="H19" s="7" t="str">
        <f t="shared" si="4"/>
        <v>Below Target</v>
      </c>
    </row>
    <row r="20" spans="1:8">
      <c r="A20" s="7" t="s">
        <v>39</v>
      </c>
      <c r="B20" s="7" t="s">
        <v>9</v>
      </c>
      <c r="C20" s="7" t="str">
        <f t="shared" si="0"/>
        <v>Electronics</v>
      </c>
      <c r="D20" s="7" t="str">
        <f t="shared" si="1"/>
        <v>Electronics</v>
      </c>
      <c r="E20" s="8">
        <v>999.98</v>
      </c>
      <c r="F20" s="7" t="str">
        <f t="shared" si="2"/>
        <v>Low</v>
      </c>
      <c r="G20" s="7" t="str">
        <f t="shared" si="3"/>
        <v>C</v>
      </c>
      <c r="H20" s="7" t="str">
        <f t="shared" si="4"/>
        <v>Below Target</v>
      </c>
    </row>
    <row r="21" spans="1:8">
      <c r="A21" s="7" t="s">
        <v>40</v>
      </c>
      <c r="B21" s="7" t="s">
        <v>13</v>
      </c>
      <c r="C21" s="7" t="str">
        <f t="shared" si="0"/>
        <v>Home Appliances</v>
      </c>
      <c r="D21" s="7" t="str">
        <f t="shared" si="1"/>
        <v>Home Appliances</v>
      </c>
      <c r="E21" s="8">
        <v>99.99</v>
      </c>
      <c r="F21" s="7" t="str">
        <f t="shared" si="2"/>
        <v>Low</v>
      </c>
      <c r="G21" s="7" t="str">
        <f t="shared" si="3"/>
        <v>D</v>
      </c>
      <c r="H21" s="7" t="str">
        <f t="shared" si="4"/>
        <v>Below Target</v>
      </c>
    </row>
    <row r="22" spans="1:8">
      <c r="A22" s="7" t="s">
        <v>41</v>
      </c>
      <c r="B22" s="7" t="s">
        <v>17</v>
      </c>
      <c r="C22" s="7" t="str">
        <f t="shared" si="0"/>
        <v>Clothing</v>
      </c>
      <c r="D22" s="7" t="str">
        <f t="shared" si="1"/>
        <v>Clothing</v>
      </c>
      <c r="E22" s="8">
        <v>179.97</v>
      </c>
      <c r="F22" s="7" t="str">
        <f t="shared" si="2"/>
        <v>Low</v>
      </c>
      <c r="G22" s="7" t="str">
        <f t="shared" si="3"/>
        <v>D</v>
      </c>
      <c r="H22" s="7" t="str">
        <f t="shared" si="4"/>
        <v>Below Target</v>
      </c>
    </row>
    <row r="23" spans="1:8">
      <c r="A23" s="7" t="s">
        <v>42</v>
      </c>
      <c r="B23" s="7" t="s">
        <v>21</v>
      </c>
      <c r="C23" s="7" t="str">
        <f t="shared" si="0"/>
        <v>Books</v>
      </c>
      <c r="D23" s="7" t="str">
        <f t="shared" si="1"/>
        <v>Books</v>
      </c>
      <c r="E23" s="8">
        <v>45.98</v>
      </c>
      <c r="F23" s="7" t="str">
        <f t="shared" si="2"/>
        <v>Low</v>
      </c>
      <c r="G23" s="7" t="str">
        <f t="shared" si="3"/>
        <v>D</v>
      </c>
      <c r="H23" s="7" t="str">
        <f t="shared" si="4"/>
        <v>Below Target</v>
      </c>
    </row>
    <row r="24" spans="1:8">
      <c r="A24" s="7" t="s">
        <v>43</v>
      </c>
      <c r="B24" s="7" t="s">
        <v>23</v>
      </c>
      <c r="C24" s="7" t="str">
        <f t="shared" si="0"/>
        <v>Beauty Products</v>
      </c>
      <c r="D24" s="7" t="str">
        <f t="shared" si="1"/>
        <v>Beauty Products</v>
      </c>
      <c r="E24" s="8">
        <v>49.99</v>
      </c>
      <c r="F24" s="7" t="str">
        <f t="shared" si="2"/>
        <v>Low</v>
      </c>
      <c r="G24" s="7" t="str">
        <f t="shared" si="3"/>
        <v>D</v>
      </c>
      <c r="H24" s="7" t="str">
        <f t="shared" si="4"/>
        <v>Below Target</v>
      </c>
    </row>
    <row r="25" spans="1:8">
      <c r="A25" s="7" t="s">
        <v>44</v>
      </c>
      <c r="B25" s="7" t="s">
        <v>25</v>
      </c>
      <c r="C25" s="7" t="str">
        <f t="shared" si="0"/>
        <v>Sports</v>
      </c>
      <c r="D25" s="7" t="str">
        <f t="shared" si="1"/>
        <v>Sports</v>
      </c>
      <c r="E25" s="8">
        <v>89.97</v>
      </c>
      <c r="F25" s="7" t="str">
        <f t="shared" si="2"/>
        <v>Low</v>
      </c>
      <c r="G25" s="7" t="str">
        <f t="shared" si="3"/>
        <v>D</v>
      </c>
      <c r="H25" s="7" t="str">
        <f t="shared" si="4"/>
        <v>Below Target</v>
      </c>
    </row>
    <row r="26" spans="1:8">
      <c r="A26" s="7" t="s">
        <v>45</v>
      </c>
      <c r="B26" s="7" t="s">
        <v>9</v>
      </c>
      <c r="C26" s="7" t="str">
        <f t="shared" si="0"/>
        <v>Electronics</v>
      </c>
      <c r="D26" s="7" t="str">
        <f t="shared" si="1"/>
        <v>Electronics</v>
      </c>
      <c r="E26" s="8">
        <v>299.99</v>
      </c>
      <c r="F26" s="7" t="str">
        <f t="shared" si="2"/>
        <v>Low</v>
      </c>
      <c r="G26" s="7" t="str">
        <f t="shared" si="3"/>
        <v>D</v>
      </c>
      <c r="H26" s="7" t="str">
        <f t="shared" si="4"/>
        <v>Below Target</v>
      </c>
    </row>
  </sheetData>
  <mergeCells count="1">
    <mergeCell ref="J1:K1"/>
  </mergeCells>
  <conditionalFormatting sqref="E2:E26">
    <cfRule type="cellIs" dxfId="11" priority="12" operator="greaterThan">
      <formula>1000</formula>
    </cfRule>
  </conditionalFormatting>
  <conditionalFormatting sqref="F2:F26">
    <cfRule type="containsText" dxfId="10" priority="7" operator="containsText" text="High">
      <formula>NOT(ISERROR(SEARCH("High",F2)))</formula>
    </cfRule>
  </conditionalFormatting>
  <conditionalFormatting sqref="G2:G26">
    <cfRule type="containsText" dxfId="9" priority="5" operator="containsText" text="C">
      <formula>NOT(ISERROR(SEARCH("C",G2)))</formula>
    </cfRule>
    <cfRule type="containsText" dxfId="8" priority="8" operator="containsText" text="D">
      <formula>NOT(ISERROR(SEARCH("D",G2)))</formula>
    </cfRule>
    <cfRule type="containsText" dxfId="7" priority="9" operator="containsText" text="C">
      <formula>NOT(ISERROR(SEARCH("C",G2)))</formula>
    </cfRule>
    <cfRule type="containsText" dxfId="6" priority="10" operator="containsText" text="B">
      <formula>NOT(ISERROR(SEARCH("B",G2)))</formula>
    </cfRule>
    <cfRule type="containsText" dxfId="5" priority="11" operator="containsText" text="A">
      <formula>NOT(ISERROR(SEARCH("A",G2)))</formula>
    </cfRule>
  </conditionalFormatting>
  <conditionalFormatting sqref="H2:H26">
    <cfRule type="containsText" dxfId="4" priority="6" operator="containsText" text="Target Achieved">
      <formula>NOT(ISERROR(SEARCH("Target Achieved",H2)))</formula>
    </cfRule>
  </conditionalFormatting>
  <conditionalFormatting sqref="J3:J7">
    <cfRule type="containsText" dxfId="3" priority="4" operator="containsText" text="Light Green">
      <formula>NOT(ISERROR(SEARCH("Light Green",J3)))</formula>
    </cfRule>
  </conditionalFormatting>
  <conditionalFormatting sqref="J4">
    <cfRule type="containsText" dxfId="2" priority="3" operator="containsText" text="Light Yellow">
      <formula>NOT(ISERROR(SEARCH("Light Yellow",J4)))</formula>
    </cfRule>
  </conditionalFormatting>
  <conditionalFormatting sqref="J5">
    <cfRule type="containsText" dxfId="1" priority="2" operator="containsText" text="Light Blue">
      <formula>NOT(ISERROR(SEARCH("Light Blue",J5)))</formula>
    </cfRule>
  </conditionalFormatting>
  <conditionalFormatting sqref="J6">
    <cfRule type="containsText" dxfId="0" priority="1" operator="containsText" text="Light Red">
      <formula>NOT(ISERROR(SEARCH("Light Red",J6)))</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D621-4803-4D39-BDE3-A6D580AD8F53}">
  <dimension ref="A1:C90"/>
  <sheetViews>
    <sheetView workbookViewId="0">
      <selection activeCell="A2" sqref="A2"/>
    </sheetView>
  </sheetViews>
  <sheetFormatPr defaultRowHeight="14.4"/>
  <cols>
    <col min="1" max="1" width="18" bestFit="1" customWidth="1"/>
    <col min="2" max="2" width="19.6640625" bestFit="1" customWidth="1"/>
    <col min="3" max="3" width="21" bestFit="1" customWidth="1"/>
  </cols>
  <sheetData>
    <row r="1" spans="1:2">
      <c r="A1" s="17" t="s">
        <v>2</v>
      </c>
      <c r="B1" t="s">
        <v>272</v>
      </c>
    </row>
    <row r="2" spans="1:2">
      <c r="A2" t="s">
        <v>9</v>
      </c>
      <c r="B2" s="3">
        <v>34982.410000000011</v>
      </c>
    </row>
    <row r="3" spans="1:2">
      <c r="A3" t="s">
        <v>13</v>
      </c>
      <c r="B3" s="3">
        <v>18646.16</v>
      </c>
    </row>
    <row r="4" spans="1:2">
      <c r="A4" t="s">
        <v>25</v>
      </c>
      <c r="B4" s="3">
        <v>14326.519999999997</v>
      </c>
    </row>
    <row r="5" spans="1:2">
      <c r="A5" t="s">
        <v>17</v>
      </c>
      <c r="B5" s="3">
        <v>8128.9300000000012</v>
      </c>
    </row>
    <row r="6" spans="1:2">
      <c r="A6" t="s">
        <v>23</v>
      </c>
      <c r="B6" s="3">
        <v>2621.8999999999996</v>
      </c>
    </row>
    <row r="7" spans="1:2">
      <c r="A7" t="s">
        <v>21</v>
      </c>
      <c r="B7" s="3">
        <v>1861.9300000000007</v>
      </c>
    </row>
    <row r="8" spans="1:2">
      <c r="A8" t="s">
        <v>271</v>
      </c>
      <c r="B8" s="3">
        <v>80567.850000000006</v>
      </c>
    </row>
    <row r="18" spans="1:2">
      <c r="A18" s="17" t="s">
        <v>7</v>
      </c>
      <c r="B18" t="s">
        <v>272</v>
      </c>
    </row>
    <row r="19" spans="1:2">
      <c r="A19" t="s">
        <v>11</v>
      </c>
      <c r="B19" s="3">
        <v>36844.340000000018</v>
      </c>
    </row>
    <row r="20" spans="1:2">
      <c r="A20" t="s">
        <v>19</v>
      </c>
      <c r="B20" s="3">
        <v>22455.449999999997</v>
      </c>
    </row>
    <row r="21" spans="1:2">
      <c r="A21" t="s">
        <v>15</v>
      </c>
      <c r="B21" s="3">
        <v>21268.060000000005</v>
      </c>
    </row>
    <row r="22" spans="1:2">
      <c r="A22" t="s">
        <v>271</v>
      </c>
      <c r="B22" s="3">
        <v>80567.85000000002</v>
      </c>
    </row>
    <row r="35" spans="1:2">
      <c r="A35" s="17" t="s">
        <v>8</v>
      </c>
      <c r="B35" t="s">
        <v>272</v>
      </c>
    </row>
    <row r="36" spans="1:2">
      <c r="A36" t="s">
        <v>12</v>
      </c>
      <c r="B36" s="3">
        <v>51170.860000000015</v>
      </c>
    </row>
    <row r="37" spans="1:2">
      <c r="A37" t="s">
        <v>20</v>
      </c>
      <c r="B37" s="3">
        <v>8128.9300000000012</v>
      </c>
    </row>
    <row r="38" spans="1:2">
      <c r="A38" t="s">
        <v>16</v>
      </c>
      <c r="B38" s="3">
        <v>21268.060000000005</v>
      </c>
    </row>
    <row r="39" spans="1:2">
      <c r="A39" t="s">
        <v>271</v>
      </c>
      <c r="B39" s="3">
        <v>80567.85000000002</v>
      </c>
    </row>
    <row r="52" spans="1:2">
      <c r="A52" s="17" t="s">
        <v>281</v>
      </c>
      <c r="B52" t="s">
        <v>272</v>
      </c>
    </row>
    <row r="53" spans="1:2">
      <c r="A53" t="s">
        <v>273</v>
      </c>
      <c r="B53" s="3">
        <v>14548.319999999992</v>
      </c>
    </row>
    <row r="54" spans="1:2">
      <c r="A54" t="s">
        <v>274</v>
      </c>
      <c r="B54" s="3">
        <v>10803.369999999999</v>
      </c>
    </row>
    <row r="55" spans="1:2">
      <c r="A55" t="s">
        <v>275</v>
      </c>
      <c r="B55" s="3">
        <v>12849.239999999996</v>
      </c>
    </row>
    <row r="56" spans="1:2">
      <c r="A56" t="s">
        <v>276</v>
      </c>
      <c r="B56" s="3">
        <v>12451.689999999995</v>
      </c>
    </row>
    <row r="57" spans="1:2">
      <c r="A57" t="s">
        <v>277</v>
      </c>
      <c r="B57" s="3">
        <v>8455.49</v>
      </c>
    </row>
    <row r="58" spans="1:2">
      <c r="A58" t="s">
        <v>278</v>
      </c>
      <c r="B58" s="3">
        <v>7384.5499999999984</v>
      </c>
    </row>
    <row r="59" spans="1:2">
      <c r="A59" t="s">
        <v>279</v>
      </c>
      <c r="B59" s="3">
        <v>6797.08</v>
      </c>
    </row>
    <row r="60" spans="1:2">
      <c r="A60" t="s">
        <v>280</v>
      </c>
      <c r="B60" s="3">
        <v>7278.1099999999988</v>
      </c>
    </row>
    <row r="61" spans="1:2">
      <c r="A61" t="s">
        <v>271</v>
      </c>
      <c r="B61" s="3">
        <v>80567.849999999977</v>
      </c>
    </row>
    <row r="69" spans="1:2">
      <c r="A69" s="17" t="s">
        <v>3</v>
      </c>
      <c r="B69" t="s">
        <v>272</v>
      </c>
    </row>
    <row r="70" spans="1:2">
      <c r="A70" t="s">
        <v>123</v>
      </c>
      <c r="B70" s="3">
        <v>3899.99</v>
      </c>
    </row>
    <row r="71" spans="1:2">
      <c r="A71" t="s">
        <v>106</v>
      </c>
      <c r="B71" s="3">
        <v>2599.98</v>
      </c>
    </row>
    <row r="72" spans="1:2">
      <c r="A72" t="s">
        <v>27</v>
      </c>
      <c r="B72" s="3">
        <v>2499.9899999999998</v>
      </c>
    </row>
    <row r="73" spans="1:2">
      <c r="A73" t="s">
        <v>232</v>
      </c>
      <c r="B73" s="3">
        <v>2399</v>
      </c>
    </row>
    <row r="74" spans="1:2">
      <c r="A74" t="s">
        <v>10</v>
      </c>
      <c r="B74" s="3">
        <v>1999.98</v>
      </c>
    </row>
    <row r="75" spans="1:2">
      <c r="A75" t="s">
        <v>56</v>
      </c>
      <c r="B75" s="3">
        <v>1895</v>
      </c>
    </row>
    <row r="76" spans="1:2">
      <c r="A76" t="s">
        <v>93</v>
      </c>
      <c r="B76" s="3">
        <v>1599.99</v>
      </c>
    </row>
    <row r="77" spans="1:2">
      <c r="A77" t="s">
        <v>58</v>
      </c>
      <c r="B77" s="3">
        <v>1599.98</v>
      </c>
    </row>
    <row r="78" spans="1:2">
      <c r="A78" t="s">
        <v>39</v>
      </c>
      <c r="B78" s="3">
        <v>1599.97</v>
      </c>
    </row>
    <row r="79" spans="1:2">
      <c r="A79" t="s">
        <v>158</v>
      </c>
      <c r="B79" s="3">
        <v>1499.99</v>
      </c>
    </row>
    <row r="80" spans="1:2">
      <c r="A80" t="s">
        <v>271</v>
      </c>
      <c r="B80" s="3">
        <v>21593.870000000003</v>
      </c>
    </row>
    <row r="86" spans="1:3">
      <c r="A86" s="17" t="s">
        <v>7</v>
      </c>
      <c r="B86" t="s">
        <v>286</v>
      </c>
      <c r="C86" t="s">
        <v>287</v>
      </c>
    </row>
    <row r="87" spans="1:3">
      <c r="A87" t="s">
        <v>19</v>
      </c>
      <c r="B87" s="4">
        <v>233</v>
      </c>
      <c r="C87" s="19">
        <v>80</v>
      </c>
    </row>
    <row r="88" spans="1:3">
      <c r="A88" t="s">
        <v>15</v>
      </c>
      <c r="B88" s="4">
        <v>105</v>
      </c>
      <c r="C88" s="19">
        <v>80</v>
      </c>
    </row>
    <row r="89" spans="1:3">
      <c r="A89" t="s">
        <v>11</v>
      </c>
      <c r="B89" s="4">
        <v>180</v>
      </c>
      <c r="C89" s="19">
        <v>80</v>
      </c>
    </row>
    <row r="90" spans="1:3">
      <c r="A90" t="s">
        <v>271</v>
      </c>
      <c r="B90" s="4">
        <v>518</v>
      </c>
      <c r="C90" s="19">
        <v>240</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DC64-B3F8-41C7-8557-740CF8DB16D5}">
  <dimension ref="A1:AE54"/>
  <sheetViews>
    <sheetView tabSelected="1" zoomScale="50" zoomScaleNormal="50" workbookViewId="0">
      <selection activeCell="AJ13" sqref="AJ13"/>
    </sheetView>
  </sheetViews>
  <sheetFormatPr defaultRowHeight="14.4"/>
  <cols>
    <col min="1" max="1" width="11.77734375" customWidth="1"/>
    <col min="2" max="2" width="13.5546875" customWidth="1"/>
    <col min="3" max="3" width="16" customWidth="1"/>
    <col min="4" max="4" width="2.6640625" customWidth="1"/>
    <col min="13" max="13" width="8.88671875" customWidth="1"/>
    <col min="15" max="15" width="2.6640625" customWidth="1"/>
    <col min="26" max="26" width="2.6640625" customWidth="1"/>
    <col min="29" max="29" width="8.6640625" customWidth="1"/>
    <col min="31" max="31" width="2.5546875" customWidth="1"/>
  </cols>
  <sheetData>
    <row r="1" spans="1:3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spans="1:31">
      <c r="A2" s="20"/>
      <c r="B2" s="20"/>
      <c r="C2" s="20"/>
      <c r="D2" s="20"/>
      <c r="E2" s="21" t="s">
        <v>288</v>
      </c>
      <c r="F2" s="22"/>
      <c r="G2" s="22"/>
      <c r="H2" s="22"/>
      <c r="I2" s="22"/>
      <c r="J2" s="22"/>
      <c r="K2" s="22"/>
      <c r="L2" s="22"/>
      <c r="M2" s="22"/>
      <c r="N2" s="22"/>
      <c r="O2" s="22"/>
      <c r="P2" s="22"/>
      <c r="Q2" s="22"/>
      <c r="R2" s="22"/>
      <c r="S2" s="22"/>
      <c r="T2" s="22"/>
      <c r="U2" s="22"/>
      <c r="V2" s="22"/>
      <c r="W2" s="22"/>
      <c r="X2" s="22"/>
      <c r="Y2" s="22"/>
      <c r="Z2" s="20"/>
      <c r="AA2" s="20"/>
      <c r="AB2" s="20"/>
      <c r="AC2" s="20"/>
      <c r="AD2" s="20"/>
      <c r="AE2" s="20"/>
    </row>
    <row r="3" spans="1:31">
      <c r="A3" s="20"/>
      <c r="B3" s="20"/>
      <c r="C3" s="20"/>
      <c r="D3" s="20"/>
      <c r="E3" s="22"/>
      <c r="F3" s="22"/>
      <c r="G3" s="22"/>
      <c r="H3" s="22"/>
      <c r="I3" s="22"/>
      <c r="J3" s="22"/>
      <c r="K3" s="22"/>
      <c r="L3" s="22"/>
      <c r="M3" s="22"/>
      <c r="N3" s="22"/>
      <c r="O3" s="22"/>
      <c r="P3" s="22"/>
      <c r="Q3" s="22"/>
      <c r="R3" s="22"/>
      <c r="S3" s="22"/>
      <c r="T3" s="22"/>
      <c r="U3" s="22"/>
      <c r="V3" s="22"/>
      <c r="W3" s="22"/>
      <c r="X3" s="22"/>
      <c r="Y3" s="22"/>
      <c r="Z3" s="20"/>
      <c r="AA3" s="20"/>
      <c r="AB3" s="20"/>
      <c r="AC3" s="20"/>
      <c r="AD3" s="20"/>
      <c r="AE3" s="20"/>
    </row>
    <row r="4" spans="1:31">
      <c r="A4" s="20"/>
      <c r="B4" s="20"/>
      <c r="C4" s="20"/>
      <c r="D4" s="20"/>
      <c r="E4" s="22"/>
      <c r="F4" s="22"/>
      <c r="G4" s="22"/>
      <c r="H4" s="22"/>
      <c r="I4" s="22"/>
      <c r="J4" s="22"/>
      <c r="K4" s="22"/>
      <c r="L4" s="22"/>
      <c r="M4" s="22"/>
      <c r="N4" s="22"/>
      <c r="O4" s="22"/>
      <c r="P4" s="22"/>
      <c r="Q4" s="22"/>
      <c r="R4" s="22"/>
      <c r="S4" s="22"/>
      <c r="T4" s="22"/>
      <c r="U4" s="22"/>
      <c r="V4" s="22"/>
      <c r="W4" s="22"/>
      <c r="X4" s="22"/>
      <c r="Y4" s="22"/>
      <c r="Z4" s="20"/>
      <c r="AA4" s="20"/>
      <c r="AB4" s="20"/>
      <c r="AC4" s="20"/>
      <c r="AD4" s="20"/>
      <c r="AE4" s="20"/>
    </row>
    <row r="5" spans="1:31">
      <c r="A5" s="20"/>
      <c r="B5" s="20"/>
      <c r="C5" s="20"/>
      <c r="D5" s="20"/>
      <c r="E5" s="22"/>
      <c r="F5" s="22"/>
      <c r="G5" s="22"/>
      <c r="H5" s="22"/>
      <c r="I5" s="22"/>
      <c r="J5" s="22"/>
      <c r="K5" s="22"/>
      <c r="L5" s="22"/>
      <c r="M5" s="22"/>
      <c r="N5" s="22"/>
      <c r="O5" s="22"/>
      <c r="P5" s="22"/>
      <c r="Q5" s="22"/>
      <c r="R5" s="22"/>
      <c r="S5" s="22"/>
      <c r="T5" s="22"/>
      <c r="U5" s="22"/>
      <c r="V5" s="22"/>
      <c r="W5" s="22"/>
      <c r="X5" s="22"/>
      <c r="Y5" s="22"/>
      <c r="Z5" s="20"/>
      <c r="AA5" s="20"/>
      <c r="AB5" s="20"/>
      <c r="AC5" s="20"/>
      <c r="AD5" s="20"/>
      <c r="AE5" s="20"/>
    </row>
    <row r="6" spans="1:3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ht="15" thickBo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c r="A9" s="23" t="s">
        <v>6</v>
      </c>
      <c r="B9" s="24"/>
      <c r="C9" s="25"/>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1:31">
      <c r="A10" s="26"/>
      <c r="B10" s="27"/>
      <c r="C10" s="28"/>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c r="A11" s="29">
        <f>GETPIVOTDATA("Total Revenue",'Pivots &amp; Charts'!$A$52)</f>
        <v>80567.849999999977</v>
      </c>
      <c r="B11" s="30"/>
      <c r="C11" s="31"/>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1:31">
      <c r="A12" s="29"/>
      <c r="B12" s="30"/>
      <c r="C12" s="31"/>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ht="15" thickBot="1">
      <c r="A13" s="32"/>
      <c r="B13" s="33"/>
      <c r="C13" s="34"/>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ht="15" thickBo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c r="A16" s="23" t="s">
        <v>282</v>
      </c>
      <c r="B16" s="35"/>
      <c r="C16" s="36"/>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1:31">
      <c r="A17" s="37"/>
      <c r="B17" s="38"/>
      <c r="C17" s="39"/>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1:31">
      <c r="A18" s="40">
        <f>GETPIVOTDATA("Units Sold",'Pivots &amp; Charts'!$A$86)</f>
        <v>518</v>
      </c>
      <c r="B18" s="41"/>
      <c r="C18" s="42"/>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1:31">
      <c r="A19" s="40"/>
      <c r="B19" s="41"/>
      <c r="C19" s="42"/>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1:31" ht="15" thickBot="1">
      <c r="A20" s="43"/>
      <c r="B20" s="44"/>
      <c r="C20" s="45"/>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1:3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1:31" ht="15" thickBo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1:31">
      <c r="A23" s="46" t="s">
        <v>283</v>
      </c>
      <c r="B23" s="47"/>
      <c r="C23" s="48"/>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1:31">
      <c r="A24" s="49"/>
      <c r="B24" s="27"/>
      <c r="C24" s="5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1:31" ht="14.4" customHeight="1">
      <c r="A25" s="51">
        <f>GETPIVOTDATA("Count of Transaction ID",'Pivots &amp; Charts'!$A$86)</f>
        <v>240</v>
      </c>
      <c r="B25" s="52"/>
      <c r="C25" s="53"/>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1:31" ht="14.4" customHeight="1">
      <c r="A26" s="51"/>
      <c r="B26" s="52"/>
      <c r="C26" s="53"/>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1:31" ht="14.4" customHeight="1" thickBot="1">
      <c r="A27" s="54"/>
      <c r="B27" s="55"/>
      <c r="C27" s="56"/>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1:31" ht="14.4"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1:31" ht="14.4" customHeight="1" thickBo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1:31">
      <c r="A30" s="46" t="s">
        <v>284</v>
      </c>
      <c r="B30" s="57"/>
      <c r="C30" s="58"/>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1:31">
      <c r="A31" s="59"/>
      <c r="B31" s="60"/>
      <c r="C31" s="61"/>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1:31">
      <c r="A32" s="62" t="str">
        <f>'Pivots &amp; Charts'!A2</f>
        <v>Electronics</v>
      </c>
      <c r="B32" s="41"/>
      <c r="C32" s="63"/>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1:31">
      <c r="A33" s="62"/>
      <c r="B33" s="41"/>
      <c r="C33" s="63"/>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1:31" ht="15" thickBot="1">
      <c r="A34" s="64"/>
      <c r="B34" s="65"/>
      <c r="C34" s="66"/>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1:3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1:31" ht="15" thickBo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1:31">
      <c r="A37" s="23" t="s">
        <v>285</v>
      </c>
      <c r="B37" s="35"/>
      <c r="C37" s="36"/>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1:31">
      <c r="A38" s="37"/>
      <c r="B38" s="38"/>
      <c r="C38" s="39"/>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1:31">
      <c r="A39" s="40" t="str">
        <f>'Pivots &amp; Charts'!A19</f>
        <v>North America</v>
      </c>
      <c r="B39" s="41"/>
      <c r="C39" s="42"/>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1:31">
      <c r="A40" s="40"/>
      <c r="B40" s="41"/>
      <c r="C40" s="42"/>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1:31" ht="15" thickBot="1">
      <c r="A41" s="43"/>
      <c r="B41" s="44"/>
      <c r="C41" s="45"/>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1:3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1:3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1:3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1:3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1:3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1:3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1:3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1:3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1:3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1:3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1:3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1:3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1:3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sheetData>
  <mergeCells count="11">
    <mergeCell ref="A30:C31"/>
    <mergeCell ref="A32:C34"/>
    <mergeCell ref="A37:C38"/>
    <mergeCell ref="A39:C41"/>
    <mergeCell ref="E2:Y5"/>
    <mergeCell ref="A25:C27"/>
    <mergeCell ref="A23:C24"/>
    <mergeCell ref="A9:C10"/>
    <mergeCell ref="A11:C13"/>
    <mergeCell ref="A16:C17"/>
    <mergeCell ref="A18:C2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Online Sales Data</vt:lpstr>
      <vt:lpstr>Task_4</vt:lpstr>
      <vt:lpstr>Pivots &amp; Charts</vt:lpstr>
      <vt:lpstr>Dashboard</vt:lpstr>
      <vt:lpstr>Advance_Formulas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pratik patil</cp:lastModifiedBy>
  <dcterms:created xsi:type="dcterms:W3CDTF">2026-06-01T14:33:04Z</dcterms:created>
  <dcterms:modified xsi:type="dcterms:W3CDTF">2026-06-02T04:24:16Z</dcterms:modified>
</cp:coreProperties>
</file>